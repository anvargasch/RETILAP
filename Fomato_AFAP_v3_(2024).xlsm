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G:\Mi unidad\Iluminación\Normatividad\Financiero RETILAP\"/>
    </mc:Choice>
  </mc:AlternateContent>
  <xr:revisionPtr revIDLastSave="0" documentId="13_ncr:1_{76CEFFE3-B7E5-40C5-888C-17A923608178}" xr6:coauthVersionLast="47" xr6:coauthVersionMax="47" xr10:uidLastSave="{00000000-0000-0000-0000-000000000000}"/>
  <bookViews>
    <workbookView xWindow="-120" yWindow="-120" windowWidth="29040" windowHeight="15840" firstSheet="1" activeTab="1" xr2:uid="{D005017B-B73A-4EF8-871C-6B180653A553}"/>
  </bookViews>
  <sheets>
    <sheet name="Descripción" sheetId="2" r:id="rId1"/>
    <sheet name="Instrucciones" sheetId="1" r:id="rId2"/>
    <sheet name="Luminarias" sheetId="4" r:id="rId3"/>
    <sheet name="Postes" sheetId="5" r:id="rId4"/>
    <sheet name="Otros Activos" sheetId="6" r:id="rId5"/>
    <sheet name="Cálculo" sheetId="3" r:id="rId6"/>
    <sheet name="Ejemplo 1" sheetId="8" r:id="rId7"/>
    <sheet name="Ejemplo 2" sheetId="9" r:id="rId8"/>
    <sheet name="Ejemplo 3" sheetId="13" r:id="rId9"/>
    <sheet name="Hoja1" sheetId="15" state="hidden" r:id="rId10"/>
    <sheet name="FC" sheetId="14" state="hidden" r:id="rId11"/>
    <sheet name="Reporte" sheetId="12" state="hidden" r:id="rId12"/>
    <sheet name="Hoja11" sheetId="11" state="hidden" r:id="rId13"/>
  </sheets>
  <definedNames>
    <definedName name="_xlnm._FilterDatabase" localSheetId="2" hidden="1">Luminarias!$B$3:$F$3</definedName>
    <definedName name="EVALUA">Cálculo!$N$11</definedName>
    <definedName name="luminarias">Luminarias!$B$5:$G$126</definedName>
    <definedName name="TASA">Cálculo!$N$9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1" i="3" l="1"/>
  <c r="U37" i="3" l="1"/>
  <c r="U35" i="3"/>
  <c r="S58" i="3"/>
  <c r="U58" i="3" s="1"/>
  <c r="U60" i="3" s="1"/>
  <c r="N37" i="3"/>
  <c r="N35" i="3"/>
  <c r="L58" i="3"/>
  <c r="N58" i="3" s="1"/>
  <c r="N60" i="3" s="1"/>
  <c r="G37" i="3"/>
  <c r="G35" i="3"/>
  <c r="E58" i="3"/>
  <c r="G58" i="3" s="1"/>
  <c r="G60" i="3" s="1"/>
  <c r="U31" i="3"/>
  <c r="U29" i="3"/>
  <c r="S52" i="3"/>
  <c r="U52" i="3" s="1"/>
  <c r="U54" i="3" s="1"/>
  <c r="N29" i="3"/>
  <c r="L52" i="3"/>
  <c r="N52" i="3" s="1"/>
  <c r="N54" i="3" s="1"/>
  <c r="G31" i="3"/>
  <c r="G29" i="3"/>
  <c r="E52" i="3"/>
  <c r="G52" i="3" s="1"/>
  <c r="G54" i="3" s="1"/>
  <c r="U69" i="3"/>
  <c r="U68" i="3"/>
  <c r="U66" i="3"/>
  <c r="U25" i="3"/>
  <c r="U64" i="3"/>
  <c r="U23" i="3"/>
  <c r="T64" i="3"/>
  <c r="S46" i="3"/>
  <c r="U46" i="3" s="1"/>
  <c r="U48" i="3" s="1"/>
  <c r="N69" i="3"/>
  <c r="N68" i="3"/>
  <c r="N66" i="3"/>
  <c r="N25" i="3"/>
  <c r="N64" i="3"/>
  <c r="N23" i="3"/>
  <c r="M64" i="3"/>
  <c r="L46" i="3"/>
  <c r="N46" i="3" s="1"/>
  <c r="N48" i="3" s="1"/>
  <c r="G69" i="3"/>
  <c r="G68" i="3"/>
  <c r="G66" i="3"/>
  <c r="G25" i="3"/>
  <c r="G64" i="3"/>
  <c r="G23" i="3"/>
  <c r="F64" i="3"/>
  <c r="E46" i="3"/>
  <c r="G46" i="3" s="1"/>
  <c r="G48" i="3" s="1"/>
  <c r="A200" i="5" l="1"/>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G13" i="12" l="1"/>
  <c r="G11" i="12"/>
  <c r="G15" i="5" l="1"/>
  <c r="A127" i="6" l="1"/>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K43" i="12" l="1"/>
  <c r="K42" i="12"/>
  <c r="K41" i="12"/>
  <c r="V53" i="12" l="1"/>
  <c r="AS33" i="14" l="1"/>
  <c r="AR33" i="14"/>
  <c r="AQ33" i="14"/>
  <c r="AP33" i="14"/>
  <c r="AO33" i="14"/>
  <c r="AN33" i="14"/>
  <c r="AM33" i="14"/>
  <c r="AL33" i="14"/>
  <c r="AK33" i="14"/>
  <c r="AJ33" i="14"/>
  <c r="AI33" i="14"/>
  <c r="AH33" i="14"/>
  <c r="AG33" i="14"/>
  <c r="AF33" i="14"/>
  <c r="AE33" i="14"/>
  <c r="AD33" i="14"/>
  <c r="AC33" i="14"/>
  <c r="AB33" i="14"/>
  <c r="AA33" i="14"/>
  <c r="Z33" i="14"/>
  <c r="Y33" i="14"/>
  <c r="X33" i="14"/>
  <c r="W33" i="14"/>
  <c r="V33" i="14"/>
  <c r="U33" i="14"/>
  <c r="T33" i="14"/>
  <c r="S33" i="14"/>
  <c r="R33" i="14"/>
  <c r="Q33" i="14"/>
  <c r="P33" i="14"/>
  <c r="O33" i="14"/>
  <c r="N33" i="14"/>
  <c r="M33" i="14"/>
  <c r="L33" i="14"/>
  <c r="K33" i="14"/>
  <c r="J33" i="14"/>
  <c r="I33" i="14"/>
  <c r="H33" i="14"/>
  <c r="G33" i="14"/>
  <c r="F33" i="14"/>
  <c r="E33" i="14"/>
  <c r="AS22" i="14"/>
  <c r="AR22" i="14"/>
  <c r="AQ22" i="14"/>
  <c r="AP22" i="14"/>
  <c r="AO22" i="14"/>
  <c r="AN22" i="14"/>
  <c r="AM22" i="14"/>
  <c r="AL22" i="14"/>
  <c r="AK22" i="14"/>
  <c r="AJ22" i="14"/>
  <c r="AI22" i="14"/>
  <c r="AH22"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E11" i="14"/>
  <c r="F11" i="14"/>
  <c r="G11" i="14"/>
  <c r="H11" i="14"/>
  <c r="I11" i="14"/>
  <c r="J11" i="14"/>
  <c r="K11" i="14"/>
  <c r="L11" i="14"/>
  <c r="M11" i="14"/>
  <c r="N11" i="14"/>
  <c r="O11" i="14"/>
  <c r="P11" i="14"/>
  <c r="Q11" i="14"/>
  <c r="R11" i="14"/>
  <c r="S11" i="14"/>
  <c r="T11" i="14"/>
  <c r="U11" i="14"/>
  <c r="V11" i="14"/>
  <c r="W11" i="14"/>
  <c r="X11" i="14"/>
  <c r="Y11" i="14"/>
  <c r="Z11" i="14"/>
  <c r="AA11" i="14"/>
  <c r="AB11" i="14"/>
  <c r="AC11" i="14"/>
  <c r="AD11" i="14"/>
  <c r="AE11" i="14"/>
  <c r="AF11" i="14"/>
  <c r="AG11" i="14"/>
  <c r="AH11" i="14"/>
  <c r="AI11" i="14"/>
  <c r="AJ11" i="14"/>
  <c r="AK11" i="14"/>
  <c r="AL11" i="14"/>
  <c r="AM11" i="14"/>
  <c r="AN11" i="14"/>
  <c r="AO11" i="14"/>
  <c r="AP11" i="14"/>
  <c r="AQ11" i="14"/>
  <c r="AR11" i="14"/>
  <c r="AS11" i="14"/>
  <c r="D30" i="14" l="1"/>
  <c r="D31" i="14"/>
  <c r="D19" i="14"/>
  <c r="D20" i="14"/>
  <c r="D8" i="14"/>
  <c r="D9" i="14"/>
  <c r="B3" i="14"/>
  <c r="B2" i="14"/>
  <c r="D18" i="14"/>
  <c r="M35" i="14" l="1"/>
  <c r="U35" i="14"/>
  <c r="AC35" i="14"/>
  <c r="AK35" i="14"/>
  <c r="AS35" i="14"/>
  <c r="L24" i="14"/>
  <c r="T24" i="14"/>
  <c r="AB24" i="14"/>
  <c r="AJ24" i="14"/>
  <c r="AR24" i="14"/>
  <c r="P35" i="14"/>
  <c r="AF35" i="14"/>
  <c r="G24" i="14"/>
  <c r="W24" i="14"/>
  <c r="E13" i="14"/>
  <c r="T35" i="14"/>
  <c r="F35" i="14"/>
  <c r="N35" i="14"/>
  <c r="V35" i="14"/>
  <c r="AD35" i="14"/>
  <c r="AL35" i="14"/>
  <c r="E35" i="14"/>
  <c r="M24" i="14"/>
  <c r="U24" i="14"/>
  <c r="AC24" i="14"/>
  <c r="AK24" i="14"/>
  <c r="AS24" i="14"/>
  <c r="H35" i="14"/>
  <c r="X35" i="14"/>
  <c r="AN35" i="14"/>
  <c r="O24" i="14"/>
  <c r="AE24" i="14"/>
  <c r="AM24" i="14"/>
  <c r="AA35" i="14"/>
  <c r="AI35" i="14"/>
  <c r="J24" i="14"/>
  <c r="AH24" i="14"/>
  <c r="L35" i="14"/>
  <c r="AR35" i="14"/>
  <c r="AA24" i="14"/>
  <c r="G35" i="14"/>
  <c r="O35" i="14"/>
  <c r="W35" i="14"/>
  <c r="AE35" i="14"/>
  <c r="AM35" i="14"/>
  <c r="F24" i="14"/>
  <c r="N24" i="14"/>
  <c r="V24" i="14"/>
  <c r="AD24" i="14"/>
  <c r="AL24" i="14"/>
  <c r="E24" i="14"/>
  <c r="K35" i="14"/>
  <c r="Z24" i="14"/>
  <c r="AQ24" i="14"/>
  <c r="I35" i="14"/>
  <c r="Q35" i="14"/>
  <c r="Y35" i="14"/>
  <c r="AG35" i="14"/>
  <c r="AO35" i="14"/>
  <c r="H24" i="14"/>
  <c r="P24" i="14"/>
  <c r="X24" i="14"/>
  <c r="AF24" i="14"/>
  <c r="AN24" i="14"/>
  <c r="S35" i="14"/>
  <c r="AQ35" i="14"/>
  <c r="R24" i="14"/>
  <c r="AP24" i="14"/>
  <c r="AB35" i="14"/>
  <c r="AJ35" i="14"/>
  <c r="S24" i="14"/>
  <c r="AI24" i="14"/>
  <c r="J35" i="14"/>
  <c r="R35" i="14"/>
  <c r="Z35" i="14"/>
  <c r="AH35" i="14"/>
  <c r="AP35" i="14"/>
  <c r="I24" i="14"/>
  <c r="Q24" i="14"/>
  <c r="Y24" i="14"/>
  <c r="AG24" i="14"/>
  <c r="AO24" i="14"/>
  <c r="K24" i="14"/>
  <c r="D22" i="14"/>
  <c r="F4" i="14"/>
  <c r="F13" i="14" s="1"/>
  <c r="D29" i="14"/>
  <c r="D33" i="14" s="1"/>
  <c r="G4" i="14" l="1"/>
  <c r="G13" i="14" s="1"/>
  <c r="H4" i="14" l="1"/>
  <c r="H13" i="14" s="1"/>
  <c r="I4" i="14" l="1"/>
  <c r="I13" i="14" s="1"/>
  <c r="J4" i="14" l="1"/>
  <c r="J13" i="14" s="1"/>
  <c r="K4" i="14" l="1"/>
  <c r="K13" i="14" s="1"/>
  <c r="L4" i="14" l="1"/>
  <c r="L13" i="14" s="1"/>
  <c r="M4" i="14" l="1"/>
  <c r="M13" i="14" s="1"/>
  <c r="N4" i="14" l="1"/>
  <c r="N13" i="14" s="1"/>
  <c r="O4" i="14" l="1"/>
  <c r="O13" i="14" s="1"/>
  <c r="P4" i="14" l="1"/>
  <c r="P13" i="14" s="1"/>
  <c r="Q4" i="14" l="1"/>
  <c r="Q13" i="14" s="1"/>
  <c r="R4" i="14" l="1"/>
  <c r="R13" i="14" s="1"/>
  <c r="J62" i="3"/>
  <c r="J56" i="3"/>
  <c r="J50" i="3"/>
  <c r="J44" i="3"/>
  <c r="J33" i="3"/>
  <c r="J27" i="3"/>
  <c r="J21" i="3"/>
  <c r="A15" i="14" l="1"/>
  <c r="B42" i="12"/>
  <c r="S4" i="14"/>
  <c r="S13" i="14" s="1"/>
  <c r="E53" i="12"/>
  <c r="T4" i="14" l="1"/>
  <c r="T13" i="14" s="1"/>
  <c r="B28" i="12"/>
  <c r="B26" i="12"/>
  <c r="B24" i="12"/>
  <c r="L19" i="12"/>
  <c r="B19" i="12"/>
  <c r="L17" i="12"/>
  <c r="G17" i="12"/>
  <c r="B17" i="12"/>
  <c r="U4" i="14" l="1"/>
  <c r="U13" i="14" s="1"/>
  <c r="U69" i="13"/>
  <c r="N69" i="13"/>
  <c r="G69" i="13"/>
  <c r="U68" i="13"/>
  <c r="N68" i="13"/>
  <c r="G68" i="13"/>
  <c r="T65" i="13"/>
  <c r="U65" i="13" s="1"/>
  <c r="M65" i="13"/>
  <c r="N65" i="13" s="1"/>
  <c r="F65" i="13"/>
  <c r="G65" i="13" s="1"/>
  <c r="T64" i="13"/>
  <c r="U64" i="13" s="1"/>
  <c r="M64" i="13"/>
  <c r="N64" i="13" s="1"/>
  <c r="F64" i="13"/>
  <c r="G64" i="13" s="1"/>
  <c r="Q62" i="13"/>
  <c r="J62" i="13"/>
  <c r="C62" i="13"/>
  <c r="S58" i="13"/>
  <c r="U58" i="13" s="1"/>
  <c r="U60" i="13" s="1"/>
  <c r="L58" i="13"/>
  <c r="N58" i="13" s="1"/>
  <c r="N60" i="13" s="1"/>
  <c r="E58" i="13"/>
  <c r="G58" i="13" s="1"/>
  <c r="G60" i="13" s="1"/>
  <c r="Q56" i="13"/>
  <c r="J56" i="13"/>
  <c r="C56" i="13"/>
  <c r="S53" i="13"/>
  <c r="U53" i="13" s="1"/>
  <c r="L53" i="13"/>
  <c r="N53" i="13" s="1"/>
  <c r="E53" i="13"/>
  <c r="G53" i="13" s="1"/>
  <c r="S52" i="13"/>
  <c r="U52" i="13" s="1"/>
  <c r="L52" i="13"/>
  <c r="N52" i="13" s="1"/>
  <c r="E52" i="13"/>
  <c r="G52" i="13" s="1"/>
  <c r="Q50" i="13"/>
  <c r="J50" i="13"/>
  <c r="C50" i="13"/>
  <c r="S47" i="13"/>
  <c r="U47" i="13" s="1"/>
  <c r="L47" i="13"/>
  <c r="N47" i="13" s="1"/>
  <c r="E47" i="13"/>
  <c r="G47" i="13" s="1"/>
  <c r="S46" i="13"/>
  <c r="U46" i="13" s="1"/>
  <c r="L46" i="13"/>
  <c r="N46" i="13" s="1"/>
  <c r="N48" i="13" s="1"/>
  <c r="E46" i="13"/>
  <c r="G46" i="13" s="1"/>
  <c r="Q44" i="13"/>
  <c r="J44" i="13"/>
  <c r="C44" i="13"/>
  <c r="U35" i="13"/>
  <c r="U37" i="13" s="1"/>
  <c r="N35" i="13"/>
  <c r="N37" i="13" s="1"/>
  <c r="G35" i="13"/>
  <c r="G37" i="13" s="1"/>
  <c r="Q33" i="13"/>
  <c r="J33" i="13"/>
  <c r="C33" i="13"/>
  <c r="U30" i="13"/>
  <c r="N30" i="13"/>
  <c r="G30" i="13"/>
  <c r="U29" i="13"/>
  <c r="N29" i="13"/>
  <c r="G29" i="13"/>
  <c r="Q27" i="13"/>
  <c r="J27" i="13"/>
  <c r="C27" i="13"/>
  <c r="U24" i="13"/>
  <c r="N24" i="13"/>
  <c r="G24" i="13"/>
  <c r="U23" i="13"/>
  <c r="N23" i="13"/>
  <c r="G23" i="13"/>
  <c r="Q21" i="13"/>
  <c r="J21" i="13"/>
  <c r="C21" i="13"/>
  <c r="I5" i="8"/>
  <c r="I5" i="9"/>
  <c r="U69" i="9"/>
  <c r="N69" i="9"/>
  <c r="G69" i="9"/>
  <c r="U68" i="9"/>
  <c r="N68" i="9"/>
  <c r="G68" i="9"/>
  <c r="T64" i="9"/>
  <c r="U64" i="9" s="1"/>
  <c r="U66" i="9" s="1"/>
  <c r="M64" i="9"/>
  <c r="N64" i="9" s="1"/>
  <c r="N66" i="9" s="1"/>
  <c r="F64" i="9"/>
  <c r="G64" i="9" s="1"/>
  <c r="G66" i="9" s="1"/>
  <c r="Q62" i="9"/>
  <c r="J62" i="9"/>
  <c r="C62" i="9"/>
  <c r="S58" i="9"/>
  <c r="U58" i="9" s="1"/>
  <c r="U60" i="9" s="1"/>
  <c r="L58" i="9"/>
  <c r="N58" i="9" s="1"/>
  <c r="N60" i="9" s="1"/>
  <c r="E58" i="9"/>
  <c r="G58" i="9" s="1"/>
  <c r="G60" i="9" s="1"/>
  <c r="Q56" i="9"/>
  <c r="J56" i="9"/>
  <c r="C56" i="9"/>
  <c r="S52" i="9"/>
  <c r="U52" i="9" s="1"/>
  <c r="U54" i="9" s="1"/>
  <c r="L52" i="9"/>
  <c r="N52" i="9" s="1"/>
  <c r="N54" i="9" s="1"/>
  <c r="E52" i="9"/>
  <c r="G52" i="9" s="1"/>
  <c r="G54" i="9" s="1"/>
  <c r="Q50" i="9"/>
  <c r="J50" i="9"/>
  <c r="C50" i="9"/>
  <c r="S46" i="9"/>
  <c r="U46" i="9" s="1"/>
  <c r="U48" i="9" s="1"/>
  <c r="L46" i="9"/>
  <c r="N46" i="9" s="1"/>
  <c r="N48" i="9" s="1"/>
  <c r="E46" i="9"/>
  <c r="G46" i="9" s="1"/>
  <c r="G48" i="9" s="1"/>
  <c r="Q44" i="9"/>
  <c r="J44" i="9"/>
  <c r="C44" i="9"/>
  <c r="U35" i="9"/>
  <c r="U37" i="9" s="1"/>
  <c r="N35" i="9"/>
  <c r="N37" i="9" s="1"/>
  <c r="G35" i="9"/>
  <c r="G37" i="9" s="1"/>
  <c r="Q33" i="9"/>
  <c r="J33" i="9"/>
  <c r="C33" i="9"/>
  <c r="U29" i="9"/>
  <c r="U31" i="9" s="1"/>
  <c r="N29" i="9"/>
  <c r="N31" i="9" s="1"/>
  <c r="G29" i="9"/>
  <c r="G31" i="9" s="1"/>
  <c r="Q27" i="9"/>
  <c r="J27" i="9"/>
  <c r="C27" i="9"/>
  <c r="U23" i="9"/>
  <c r="U25" i="9" s="1"/>
  <c r="N23" i="9"/>
  <c r="N25" i="9" s="1"/>
  <c r="G23" i="9"/>
  <c r="G25" i="9" s="1"/>
  <c r="Q21" i="9"/>
  <c r="J21" i="9"/>
  <c r="C21" i="9"/>
  <c r="G39" i="9" l="1"/>
  <c r="N31" i="13"/>
  <c r="U31" i="13"/>
  <c r="V4" i="14"/>
  <c r="V13" i="14" s="1"/>
  <c r="C6" i="14"/>
  <c r="G48" i="13"/>
  <c r="U54" i="13"/>
  <c r="U25" i="13"/>
  <c r="U39" i="13" s="1"/>
  <c r="G66" i="13"/>
  <c r="N39" i="9"/>
  <c r="U39" i="9"/>
  <c r="G25" i="13"/>
  <c r="N25" i="13"/>
  <c r="N39" i="13" s="1"/>
  <c r="G31" i="13"/>
  <c r="C28" i="14"/>
  <c r="C17" i="14"/>
  <c r="U48" i="13"/>
  <c r="G54" i="13"/>
  <c r="N66" i="13"/>
  <c r="U66" i="13"/>
  <c r="N54" i="13"/>
  <c r="G71" i="9"/>
  <c r="U71" i="9"/>
  <c r="N71" i="9"/>
  <c r="U69" i="8"/>
  <c r="N69" i="8"/>
  <c r="G69" i="8"/>
  <c r="U68" i="8"/>
  <c r="N68" i="8"/>
  <c r="G68" i="8"/>
  <c r="T64" i="8"/>
  <c r="U64" i="8" s="1"/>
  <c r="U66" i="8" s="1"/>
  <c r="M64" i="8"/>
  <c r="N64" i="8" s="1"/>
  <c r="N66" i="8" s="1"/>
  <c r="F64" i="8"/>
  <c r="G64" i="8" s="1"/>
  <c r="G66" i="8" s="1"/>
  <c r="Q62" i="8"/>
  <c r="J62" i="8"/>
  <c r="C62" i="8"/>
  <c r="S58" i="8"/>
  <c r="U58" i="8" s="1"/>
  <c r="U60" i="8" s="1"/>
  <c r="L58" i="8"/>
  <c r="N58" i="8" s="1"/>
  <c r="N60" i="8" s="1"/>
  <c r="E58" i="8"/>
  <c r="G58" i="8" s="1"/>
  <c r="G60" i="8" s="1"/>
  <c r="Q56" i="8"/>
  <c r="J56" i="8"/>
  <c r="C56" i="8"/>
  <c r="S52" i="8"/>
  <c r="U52" i="8" s="1"/>
  <c r="U54" i="8" s="1"/>
  <c r="L52" i="8"/>
  <c r="N52" i="8" s="1"/>
  <c r="N54" i="8" s="1"/>
  <c r="E52" i="8"/>
  <c r="G52" i="8" s="1"/>
  <c r="G54" i="8" s="1"/>
  <c r="Q50" i="8"/>
  <c r="J50" i="8"/>
  <c r="C50" i="8"/>
  <c r="S46" i="8"/>
  <c r="U46" i="8" s="1"/>
  <c r="U48" i="8" s="1"/>
  <c r="L46" i="8"/>
  <c r="N46" i="8" s="1"/>
  <c r="N48" i="8" s="1"/>
  <c r="E46" i="8"/>
  <c r="G46" i="8" s="1"/>
  <c r="G48" i="8" s="1"/>
  <c r="Q44" i="8"/>
  <c r="J44" i="8"/>
  <c r="C44" i="8"/>
  <c r="U35" i="8"/>
  <c r="U37" i="8" s="1"/>
  <c r="N35" i="8"/>
  <c r="N37" i="8" s="1"/>
  <c r="G35" i="8"/>
  <c r="G37" i="8" s="1"/>
  <c r="Q33" i="8"/>
  <c r="J33" i="8"/>
  <c r="C33" i="8"/>
  <c r="U29" i="8"/>
  <c r="U31" i="8" s="1"/>
  <c r="N29" i="8"/>
  <c r="N31" i="8" s="1"/>
  <c r="G29" i="8"/>
  <c r="G31" i="8" s="1"/>
  <c r="Q27" i="8"/>
  <c r="J27" i="8"/>
  <c r="C27" i="8"/>
  <c r="U23" i="8"/>
  <c r="U25" i="8" s="1"/>
  <c r="N23" i="8"/>
  <c r="N25" i="8" s="1"/>
  <c r="G23" i="8"/>
  <c r="G25" i="8" s="1"/>
  <c r="Q21" i="8"/>
  <c r="J21" i="8"/>
  <c r="C21" i="8"/>
  <c r="B37" i="12"/>
  <c r="B36" i="12"/>
  <c r="B35" i="12"/>
  <c r="AN28" i="14" l="1"/>
  <c r="AK28" i="14"/>
  <c r="AQ28" i="14"/>
  <c r="AJ28" i="14"/>
  <c r="AS28" i="14"/>
  <c r="AM28" i="14"/>
  <c r="AO28" i="14"/>
  <c r="AP28" i="14"/>
  <c r="AL28" i="14"/>
  <c r="AR28" i="14"/>
  <c r="AK17" i="14"/>
  <c r="AN17" i="14"/>
  <c r="AQ17" i="14"/>
  <c r="AL17" i="14"/>
  <c r="AR17" i="14"/>
  <c r="AO17" i="14"/>
  <c r="AS17" i="14"/>
  <c r="AP17" i="14"/>
  <c r="AJ17" i="14"/>
  <c r="AM17" i="14"/>
  <c r="G39" i="13"/>
  <c r="U71" i="8"/>
  <c r="AG17" i="14"/>
  <c r="AG23" i="14" s="1"/>
  <c r="AI17" i="14"/>
  <c r="AE17" i="14"/>
  <c r="AE23" i="14" s="1"/>
  <c r="AB17" i="14"/>
  <c r="AB23" i="14" s="1"/>
  <c r="AA17" i="14"/>
  <c r="AA23" i="14" s="1"/>
  <c r="AH17" i="14"/>
  <c r="AH23" i="14" s="1"/>
  <c r="Z17" i="14"/>
  <c r="Z23" i="14" s="1"/>
  <c r="AF17" i="14"/>
  <c r="AF23" i="14" s="1"/>
  <c r="AC17" i="14"/>
  <c r="AC23" i="14" s="1"/>
  <c r="AD17" i="14"/>
  <c r="AD23" i="14" s="1"/>
  <c r="AC28" i="14"/>
  <c r="AC34" i="14" s="1"/>
  <c r="AB28" i="14"/>
  <c r="AB34" i="14" s="1"/>
  <c r="AF28" i="14"/>
  <c r="AF34" i="14" s="1"/>
  <c r="AH28" i="14"/>
  <c r="AH34" i="14" s="1"/>
  <c r="Z28" i="14"/>
  <c r="Z34" i="14" s="1"/>
  <c r="AD28" i="14"/>
  <c r="AD34" i="14" s="1"/>
  <c r="AA28" i="14"/>
  <c r="AA34" i="14" s="1"/>
  <c r="AI28" i="14"/>
  <c r="AE28" i="14"/>
  <c r="AE34" i="14" s="1"/>
  <c r="AG28" i="14"/>
  <c r="AG34" i="14" s="1"/>
  <c r="G71" i="8"/>
  <c r="V28" i="14"/>
  <c r="V34" i="14" s="1"/>
  <c r="U28" i="14"/>
  <c r="U34" i="14" s="1"/>
  <c r="N28" i="14"/>
  <c r="N34" i="14" s="1"/>
  <c r="P28" i="14"/>
  <c r="P34" i="14" s="1"/>
  <c r="K28" i="14"/>
  <c r="K34" i="14" s="1"/>
  <c r="Q28" i="14"/>
  <c r="R28" i="14"/>
  <c r="O28" i="14"/>
  <c r="O34" i="14" s="1"/>
  <c r="L28" i="14"/>
  <c r="Y28" i="14"/>
  <c r="Y34" i="14" s="1"/>
  <c r="G28" i="14"/>
  <c r="F28" i="14"/>
  <c r="F34" i="14" s="1"/>
  <c r="I28" i="14"/>
  <c r="W28" i="14"/>
  <c r="J28" i="14"/>
  <c r="H28" i="14"/>
  <c r="X28" i="14"/>
  <c r="X34" i="14" s="1"/>
  <c r="S28" i="14"/>
  <c r="T28" i="14"/>
  <c r="T34" i="14" s="1"/>
  <c r="M28" i="14"/>
  <c r="M34" i="14" s="1"/>
  <c r="W17" i="14"/>
  <c r="W23" i="14" s="1"/>
  <c r="S17" i="14"/>
  <c r="X17" i="14"/>
  <c r="N17" i="14"/>
  <c r="Q17" i="14"/>
  <c r="Y17" i="14"/>
  <c r="L17" i="14"/>
  <c r="I17" i="14"/>
  <c r="V17" i="14"/>
  <c r="H17" i="14"/>
  <c r="P17" i="14"/>
  <c r="T17" i="14"/>
  <c r="U17" i="14"/>
  <c r="U23" i="14" s="1"/>
  <c r="M17" i="14"/>
  <c r="M23" i="14" s="1"/>
  <c r="G17" i="14"/>
  <c r="G23" i="14" s="1"/>
  <c r="O17" i="14"/>
  <c r="O23" i="14" s="1"/>
  <c r="K17" i="14"/>
  <c r="R17" i="14"/>
  <c r="R23" i="14" s="1"/>
  <c r="J17" i="14"/>
  <c r="F17" i="14"/>
  <c r="F23" i="14" s="1"/>
  <c r="F6" i="14"/>
  <c r="G6" i="14"/>
  <c r="G12" i="14" s="1"/>
  <c r="H6" i="14"/>
  <c r="H12" i="14" s="1"/>
  <c r="I6" i="14"/>
  <c r="I12" i="14" s="1"/>
  <c r="J6" i="14"/>
  <c r="J12" i="14" s="1"/>
  <c r="K6" i="14"/>
  <c r="K12" i="14" s="1"/>
  <c r="L6" i="14"/>
  <c r="L12" i="14" s="1"/>
  <c r="M6" i="14"/>
  <c r="M12" i="14" s="1"/>
  <c r="N6" i="14"/>
  <c r="N12" i="14" s="1"/>
  <c r="O6" i="14"/>
  <c r="O12" i="14" s="1"/>
  <c r="P6" i="14"/>
  <c r="P12" i="14" s="1"/>
  <c r="Q6" i="14"/>
  <c r="Q12" i="14" s="1"/>
  <c r="R6" i="14"/>
  <c r="R12" i="14" s="1"/>
  <c r="S6" i="14"/>
  <c r="S12" i="14" s="1"/>
  <c r="T6" i="14"/>
  <c r="T12" i="14" s="1"/>
  <c r="U6" i="14"/>
  <c r="U12" i="14" s="1"/>
  <c r="W4" i="14"/>
  <c r="W13" i="14" s="1"/>
  <c r="V6" i="14"/>
  <c r="V12" i="14" s="1"/>
  <c r="D7" i="14"/>
  <c r="D11" i="14" s="1"/>
  <c r="N39" i="8"/>
  <c r="G71" i="13"/>
  <c r="U39" i="8"/>
  <c r="G39" i="8"/>
  <c r="U71" i="13"/>
  <c r="N71" i="13"/>
  <c r="N71" i="8"/>
  <c r="AO34" i="14" l="1"/>
  <c r="AO32" i="14"/>
  <c r="AM34" i="14"/>
  <c r="AM32" i="14"/>
  <c r="AS34" i="14"/>
  <c r="AS32" i="14"/>
  <c r="AJ34" i="14"/>
  <c r="AJ32" i="14"/>
  <c r="AP34" i="14"/>
  <c r="AP32" i="14"/>
  <c r="AQ34" i="14"/>
  <c r="AQ32" i="14"/>
  <c r="AR34" i="14"/>
  <c r="AR32" i="14"/>
  <c r="AK34" i="14"/>
  <c r="AK32" i="14"/>
  <c r="AL34" i="14"/>
  <c r="AL32" i="14"/>
  <c r="AN34" i="14"/>
  <c r="AN32" i="14"/>
  <c r="AO23" i="14"/>
  <c r="AO21" i="14"/>
  <c r="AS23" i="14"/>
  <c r="AS21" i="14"/>
  <c r="AR23" i="14"/>
  <c r="AR21" i="14"/>
  <c r="AP23" i="14"/>
  <c r="AP21" i="14"/>
  <c r="AL23" i="14"/>
  <c r="AL21" i="14"/>
  <c r="AM23" i="14"/>
  <c r="AM21" i="14"/>
  <c r="AN23" i="14"/>
  <c r="AN21" i="14"/>
  <c r="AQ23" i="14"/>
  <c r="AQ21" i="14"/>
  <c r="AJ23" i="14"/>
  <c r="AJ21" i="14"/>
  <c r="AK23" i="14"/>
  <c r="AK21" i="14"/>
  <c r="AD21" i="14"/>
  <c r="AB21" i="14"/>
  <c r="K32" i="14"/>
  <c r="W21" i="14"/>
  <c r="AB32" i="14"/>
  <c r="AF32" i="14"/>
  <c r="AC32" i="14"/>
  <c r="AE32" i="14"/>
  <c r="AG32" i="14"/>
  <c r="AE21" i="14"/>
  <c r="AA21" i="14"/>
  <c r="AH21" i="14"/>
  <c r="T32" i="14"/>
  <c r="AF21" i="14"/>
  <c r="M32" i="14"/>
  <c r="P32" i="14"/>
  <c r="AC21" i="14"/>
  <c r="AG21" i="14"/>
  <c r="N32" i="14"/>
  <c r="O21" i="14"/>
  <c r="AD32" i="14"/>
  <c r="G21" i="14"/>
  <c r="AA32" i="14"/>
  <c r="V32" i="14"/>
  <c r="AH32" i="14"/>
  <c r="Z21" i="14"/>
  <c r="X32" i="14"/>
  <c r="M21" i="14"/>
  <c r="U32" i="14"/>
  <c r="R21" i="14"/>
  <c r="Z32" i="14"/>
  <c r="Y21" i="14"/>
  <c r="Y23" i="14"/>
  <c r="S32" i="14"/>
  <c r="S34" i="14"/>
  <c r="Q21" i="14"/>
  <c r="Q23" i="14"/>
  <c r="L32" i="14"/>
  <c r="L34" i="14"/>
  <c r="T21" i="14"/>
  <c r="T23" i="14"/>
  <c r="N21" i="14"/>
  <c r="N23" i="14"/>
  <c r="H32" i="14"/>
  <c r="H34" i="14"/>
  <c r="J21" i="14"/>
  <c r="J23" i="14"/>
  <c r="P21" i="14"/>
  <c r="P23" i="14"/>
  <c r="X21" i="14"/>
  <c r="X23" i="14"/>
  <c r="J32" i="14"/>
  <c r="J34" i="14"/>
  <c r="R32" i="14"/>
  <c r="R34" i="14"/>
  <c r="H21" i="14"/>
  <c r="H23" i="14"/>
  <c r="S21" i="14"/>
  <c r="S23" i="14"/>
  <c r="W32" i="14"/>
  <c r="W34" i="14"/>
  <c r="Q32" i="14"/>
  <c r="Q34" i="14"/>
  <c r="K21" i="14"/>
  <c r="K23" i="14"/>
  <c r="V21" i="14"/>
  <c r="V23" i="14"/>
  <c r="I32" i="14"/>
  <c r="I34" i="14"/>
  <c r="AI34" i="14"/>
  <c r="AI32" i="14"/>
  <c r="AI23" i="14"/>
  <c r="AI21" i="14"/>
  <c r="Y32" i="14"/>
  <c r="I21" i="14"/>
  <c r="I23" i="14"/>
  <c r="U21" i="14"/>
  <c r="O32" i="14"/>
  <c r="L21" i="14"/>
  <c r="L23" i="14"/>
  <c r="G32" i="14"/>
  <c r="G34" i="14"/>
  <c r="F12" i="14"/>
  <c r="F10" i="14"/>
  <c r="X4" i="14"/>
  <c r="X13" i="14" s="1"/>
  <c r="W6" i="14"/>
  <c r="D28" i="14"/>
  <c r="F32" i="14"/>
  <c r="F21" i="14"/>
  <c r="D17" i="14"/>
  <c r="H10" i="14"/>
  <c r="Q62" i="3"/>
  <c r="Q56" i="3"/>
  <c r="Q50" i="3"/>
  <c r="Q44" i="3"/>
  <c r="Q33" i="3"/>
  <c r="Q27" i="3"/>
  <c r="Q21" i="3"/>
  <c r="B43" i="12" l="1"/>
  <c r="A26" i="14"/>
  <c r="W12" i="14"/>
  <c r="Y4" i="14"/>
  <c r="Y13" i="14" s="1"/>
  <c r="X6" i="14"/>
  <c r="I10" i="14"/>
  <c r="C56" i="3"/>
  <c r="C62" i="3"/>
  <c r="C50" i="3"/>
  <c r="C44" i="3"/>
  <c r="C33" i="3"/>
  <c r="C21" i="3"/>
  <c r="C27" i="3"/>
  <c r="A4" i="14" l="1"/>
  <c r="B41" i="12"/>
  <c r="Z4" i="14"/>
  <c r="Z13" i="14" s="1"/>
  <c r="Y6" i="14"/>
  <c r="Y12" i="14" s="1"/>
  <c r="X12" i="14"/>
  <c r="J10" i="14"/>
  <c r="U71" i="3"/>
  <c r="H37" i="12" s="1"/>
  <c r="N71" i="3"/>
  <c r="H36" i="12" s="1"/>
  <c r="J37" i="12" l="1"/>
  <c r="N43" i="12"/>
  <c r="J36" i="12"/>
  <c r="N42" i="12"/>
  <c r="AA4" i="14"/>
  <c r="AA13" i="14" s="1"/>
  <c r="Z6" i="14"/>
  <c r="Z12" i="14" s="1"/>
  <c r="K10" i="14"/>
  <c r="N39" i="3"/>
  <c r="G39" i="3"/>
  <c r="U39" i="3"/>
  <c r="AB4" i="14" l="1"/>
  <c r="AB13" i="14" s="1"/>
  <c r="AA6" i="14"/>
  <c r="AA12" i="14" s="1"/>
  <c r="L10" i="14"/>
  <c r="F35" i="12"/>
  <c r="H41" i="12" s="1"/>
  <c r="E5" i="14"/>
  <c r="F37" i="12"/>
  <c r="E27" i="14"/>
  <c r="E32" i="14" s="1"/>
  <c r="D32" i="14" s="1"/>
  <c r="F36" i="12"/>
  <c r="E16" i="14"/>
  <c r="E21" i="14" s="1"/>
  <c r="D21" i="14" s="1"/>
  <c r="G71" i="3"/>
  <c r="H35" i="12" s="1"/>
  <c r="N41" i="12" s="1"/>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6" i="6"/>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L36" i="12" l="1"/>
  <c r="N36" i="12" s="1"/>
  <c r="H42" i="12"/>
  <c r="L37" i="12"/>
  <c r="N37" i="12" s="1"/>
  <c r="H43" i="12"/>
  <c r="AC4" i="14"/>
  <c r="AC13" i="14" s="1"/>
  <c r="AB6" i="14"/>
  <c r="AB12" i="14" s="1"/>
  <c r="D5" i="14"/>
  <c r="E10" i="14"/>
  <c r="M10" i="14"/>
  <c r="J35" i="12"/>
  <c r="L35" i="12" s="1"/>
  <c r="N35" i="12" s="1"/>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6" i="5"/>
  <c r="A7" i="5" s="1"/>
  <c r="A8" i="5" s="1"/>
  <c r="A9" i="5" s="1"/>
  <c r="A10" i="5" s="1"/>
  <c r="A11" i="5" s="1"/>
  <c r="A12" i="5" s="1"/>
  <c r="A13" i="5" s="1"/>
  <c r="A14" i="5" s="1"/>
  <c r="A15" i="5" s="1"/>
  <c r="A16" i="5" s="1"/>
  <c r="A18" i="5" l="1"/>
  <c r="A19" i="5" s="1"/>
  <c r="A20" i="5" s="1"/>
  <c r="A21" i="5" s="1"/>
  <c r="A22" i="5" s="1"/>
  <c r="A17" i="5"/>
  <c r="AD4" i="14"/>
  <c r="AD13" i="14" s="1"/>
  <c r="AC6" i="14"/>
  <c r="AC12" i="14" s="1"/>
  <c r="N10" i="14"/>
  <c r="A104" i="4"/>
  <c r="A105" i="4"/>
  <c r="A106" i="4"/>
  <c r="A107" i="4"/>
  <c r="A108" i="4"/>
  <c r="A109" i="4"/>
  <c r="A110" i="4"/>
  <c r="A111" i="4"/>
  <c r="A112" i="4"/>
  <c r="A113" i="4"/>
  <c r="A114" i="4"/>
  <c r="A115" i="4"/>
  <c r="A116" i="4"/>
  <c r="A117" i="4"/>
  <c r="A118" i="4"/>
  <c r="A119" i="4"/>
  <c r="A120" i="4"/>
  <c r="A121" i="4"/>
  <c r="A122" i="4"/>
  <c r="A123" i="4"/>
  <c r="A124" i="4"/>
  <c r="A125" i="4"/>
  <c r="A126" i="4"/>
  <c r="A6" i="4"/>
  <c r="A7" i="4" s="1"/>
  <c r="A8" i="4" s="1"/>
  <c r="A9" i="4" s="1"/>
  <c r="A10" i="4" s="1"/>
  <c r="A11" i="4" s="1"/>
  <c r="A12" i="4" s="1"/>
  <c r="A13" i="4" s="1"/>
  <c r="A14" i="4" s="1"/>
  <c r="A15" i="4" s="1"/>
  <c r="A16" i="4" s="1"/>
  <c r="A17" i="4" s="1"/>
  <c r="A18" i="4" s="1"/>
  <c r="A19" i="4" s="1"/>
  <c r="A21" i="4" l="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20" i="4"/>
  <c r="AE4" i="14"/>
  <c r="AE13" i="14" s="1"/>
  <c r="AD6" i="14"/>
  <c r="AD12" i="14" s="1"/>
  <c r="O10" i="14"/>
  <c r="AF4" i="14" l="1"/>
  <c r="AF13" i="14" s="1"/>
  <c r="AE6" i="14"/>
  <c r="AE12" i="14" s="1"/>
  <c r="P10" i="14"/>
  <c r="AG4" i="14" l="1"/>
  <c r="AG13" i="14" s="1"/>
  <c r="AF6" i="14"/>
  <c r="AF12" i="14" s="1"/>
  <c r="Q10" i="14"/>
  <c r="AH4" i="14" l="1"/>
  <c r="AH13" i="14" s="1"/>
  <c r="AG6" i="14"/>
  <c r="AG12" i="14" s="1"/>
  <c r="R10" i="14"/>
  <c r="AI4" i="14" l="1"/>
  <c r="AI13" i="14" s="1"/>
  <c r="AH6" i="14"/>
  <c r="AH12" i="14" s="1"/>
  <c r="S10" i="14"/>
  <c r="AJ4" i="14" l="1"/>
  <c r="AJ13" i="14" s="1"/>
  <c r="AI6" i="14"/>
  <c r="AI12" i="14" s="1"/>
  <c r="T10" i="14"/>
  <c r="AK4" i="14" l="1"/>
  <c r="AK13" i="14" s="1"/>
  <c r="AJ6" i="14"/>
  <c r="AJ12" i="14" s="1"/>
  <c r="U10" i="14"/>
  <c r="AL4" i="14" l="1"/>
  <c r="AL13" i="14" s="1"/>
  <c r="AK6" i="14"/>
  <c r="AK12" i="14" s="1"/>
  <c r="V10" i="14"/>
  <c r="AM4" i="14" l="1"/>
  <c r="AM13" i="14" s="1"/>
  <c r="AL6" i="14"/>
  <c r="AL12" i="14" s="1"/>
  <c r="W10" i="14"/>
  <c r="AN4" i="14" l="1"/>
  <c r="AN13" i="14" s="1"/>
  <c r="AM6" i="14"/>
  <c r="AM12" i="14" s="1"/>
  <c r="X10" i="14"/>
  <c r="AO4" i="14" l="1"/>
  <c r="AO13" i="14" s="1"/>
  <c r="AN6" i="14"/>
  <c r="AN12" i="14" s="1"/>
  <c r="Y10" i="14"/>
  <c r="AP4" i="14" l="1"/>
  <c r="AP13" i="14" s="1"/>
  <c r="AO6" i="14"/>
  <c r="AO12" i="14" s="1"/>
  <c r="Z10" i="14"/>
  <c r="AQ4" i="14" l="1"/>
  <c r="AQ13" i="14" s="1"/>
  <c r="AP6" i="14"/>
  <c r="AP12" i="14" s="1"/>
  <c r="AA10" i="14"/>
  <c r="AR4" i="14" l="1"/>
  <c r="AR13" i="14" s="1"/>
  <c r="AQ6" i="14"/>
  <c r="AQ12" i="14" s="1"/>
  <c r="AB10" i="14"/>
  <c r="AS4" i="14" l="1"/>
  <c r="AS13" i="14" s="1"/>
  <c r="AR6" i="14"/>
  <c r="AR12" i="14" s="1"/>
  <c r="AC10" i="14"/>
  <c r="AS6" i="14" l="1"/>
  <c r="D6" i="14" s="1"/>
  <c r="AD10" i="14"/>
  <c r="AS12" i="14" l="1"/>
  <c r="AE10" i="14"/>
  <c r="AF10" i="14" l="1"/>
  <c r="AG10" i="14" l="1"/>
  <c r="AH10" i="14" l="1"/>
  <c r="AI10" i="14" l="1"/>
  <c r="AJ10" i="14" l="1"/>
  <c r="AK10" i="14" l="1"/>
  <c r="AL10" i="14" l="1"/>
  <c r="AM10" i="14" l="1"/>
  <c r="AN10" i="14" l="1"/>
  <c r="AO10" i="14" l="1"/>
  <c r="AP10" i="14" l="1"/>
  <c r="AQ10" i="14" l="1"/>
  <c r="AS10" i="14" l="1"/>
  <c r="AR10" i="14"/>
  <c r="G10" i="14"/>
  <c r="D10" i="14" l="1"/>
</calcChain>
</file>

<file path=xl/sharedStrings.xml><?xml version="1.0" encoding="utf-8"?>
<sst xmlns="http://schemas.openxmlformats.org/spreadsheetml/2006/main" count="1298" uniqueCount="255">
  <si>
    <t>Cálculo</t>
  </si>
  <si>
    <t>Luminarias</t>
  </si>
  <si>
    <t>Postes</t>
  </si>
  <si>
    <t>Ejemplo 1</t>
  </si>
  <si>
    <t>Ejemplo 2</t>
  </si>
  <si>
    <t>Ejemplo 3</t>
  </si>
  <si>
    <t>Presentación de un tramo típico de una instalación de vías M5</t>
  </si>
  <si>
    <t>Presentación de un tramo típico de una instalación de vías M3</t>
  </si>
  <si>
    <t>ANÁLISIS DE COSTOS INICIALES</t>
  </si>
  <si>
    <t>CANTIDAD</t>
  </si>
  <si>
    <t>COSTO C/U</t>
  </si>
  <si>
    <t>COSTO TOTAL</t>
  </si>
  <si>
    <t>POTENCIA</t>
  </si>
  <si>
    <t>LUMINARIAS</t>
  </si>
  <si>
    <t>VIDA ÚTIL (AÑOS)</t>
  </si>
  <si>
    <t>POSTES</t>
  </si>
  <si>
    <t>Desplegable</t>
  </si>
  <si>
    <t xml:space="preserve">A </t>
  </si>
  <si>
    <t>B</t>
  </si>
  <si>
    <t>C</t>
  </si>
  <si>
    <t>Proyecto</t>
  </si>
  <si>
    <t>Referencia</t>
  </si>
  <si>
    <t>Tecnología</t>
  </si>
  <si>
    <t>Potencia (W)</t>
  </si>
  <si>
    <t>Vida útil (años)</t>
  </si>
  <si>
    <t>Perdidas internas (W)</t>
  </si>
  <si>
    <t>Material</t>
  </si>
  <si>
    <t>Resistencia</t>
  </si>
  <si>
    <t>ítem</t>
  </si>
  <si>
    <t>ANÁLISIS DE COSTOS ANUALES DE OPERACIÓN Y MANTENIMIENTO</t>
  </si>
  <si>
    <t>MATERIAL</t>
  </si>
  <si>
    <t>Sodio</t>
  </si>
  <si>
    <t>Acción</t>
  </si>
  <si>
    <t>Modificar</t>
  </si>
  <si>
    <t>Luminaria</t>
  </si>
  <si>
    <t>Poste</t>
  </si>
  <si>
    <t>Otros Activos</t>
  </si>
  <si>
    <t>Concreto</t>
  </si>
  <si>
    <t>510 kg</t>
  </si>
  <si>
    <t>750 kg</t>
  </si>
  <si>
    <t>Altura (m)</t>
  </si>
  <si>
    <t>Metálico</t>
  </si>
  <si>
    <t>N/A</t>
  </si>
  <si>
    <t>Descripción</t>
  </si>
  <si>
    <t>Insertar</t>
  </si>
  <si>
    <t>OTROS ACTIVOS</t>
  </si>
  <si>
    <t>DESCRIPCIÓN</t>
  </si>
  <si>
    <t>luminarias</t>
  </si>
  <si>
    <t>alt 2</t>
  </si>
  <si>
    <t>postes</t>
  </si>
  <si>
    <t>otros</t>
  </si>
  <si>
    <t>alt0</t>
  </si>
  <si>
    <t>alt 1</t>
  </si>
  <si>
    <t>Subtotal</t>
  </si>
  <si>
    <t>inicio</t>
  </si>
  <si>
    <t>Otros activos</t>
  </si>
  <si>
    <t>REPOSICIÓN LUMINARIAS</t>
  </si>
  <si>
    <t>REPOSICIÓN POSTES</t>
  </si>
  <si>
    <t>REPOSICIÓN  OTROS ACTIVOS</t>
  </si>
  <si>
    <t xml:space="preserve">TOTAL COSTOS INICIALES ALTERNATIVA 1: </t>
  </si>
  <si>
    <t xml:space="preserve">TOTAL COSTOS INICIALES ALTERNATIVA 2: </t>
  </si>
  <si>
    <t xml:space="preserve">TOTAL COSTOS INICIALES ALTERNATIVA 3: </t>
  </si>
  <si>
    <t>fin</t>
  </si>
  <si>
    <t>total</t>
  </si>
  <si>
    <t>AOM_lum</t>
  </si>
  <si>
    <t>AOM_postes</t>
  </si>
  <si>
    <t>AOM_otros</t>
  </si>
  <si>
    <t>ener_lum</t>
  </si>
  <si>
    <t>LED</t>
  </si>
  <si>
    <t xml:space="preserve">TOTAL COSTOS OPERACIÓN ALTERNATIVA 1: </t>
  </si>
  <si>
    <t xml:space="preserve">TOTAL COSTOS OPERACIÓN ALTERNATIVA 2: </t>
  </si>
  <si>
    <t xml:space="preserve">TOTAL COSTOS OPERACIÓN ALTERNATIVA 3: </t>
  </si>
  <si>
    <t>POTENCIA (W)</t>
  </si>
  <si>
    <t>COSTO ENERGÍA POR LUMINARIA</t>
  </si>
  <si>
    <t>ENERGÍA ANUAL LUMINARIAS</t>
  </si>
  <si>
    <t>OPERACIÓN HORAS / DIA</t>
  </si>
  <si>
    <t>CANTIDAD REPOSICIÓN</t>
  </si>
  <si>
    <t>COSTO C/U
REPOSICIÓN</t>
  </si>
  <si>
    <t>UCAP COP($)</t>
  </si>
  <si>
    <t>Parques</t>
  </si>
  <si>
    <t>Alamedas</t>
  </si>
  <si>
    <t>Ciclo rutas</t>
  </si>
  <si>
    <t>Plazas y plazoletas</t>
  </si>
  <si>
    <t>Vías peatonales</t>
  </si>
  <si>
    <t>Puentes vehiculares</t>
  </si>
  <si>
    <t>Túneles peatonales</t>
  </si>
  <si>
    <t>Túnel vehicular</t>
  </si>
  <si>
    <t>Sistema vial (M1-M2)</t>
  </si>
  <si>
    <t>Sistema vial (M3-M4)</t>
  </si>
  <si>
    <t>Sistema vial (M5)</t>
  </si>
  <si>
    <t>&lt;25</t>
  </si>
  <si>
    <t>A</t>
  </si>
  <si>
    <t>25-75</t>
  </si>
  <si>
    <t>25-100</t>
  </si>
  <si>
    <t>25-50</t>
  </si>
  <si>
    <t>1. NOMBRE DEL PROYECTO</t>
  </si>
  <si>
    <t>2. UBICACIÓN DEL PROYECTO</t>
  </si>
  <si>
    <t>3. TIPO DE PROYECTO</t>
  </si>
  <si>
    <t>4. TIPO DE OBRA</t>
  </si>
  <si>
    <t>OBRA</t>
  </si>
  <si>
    <t>Nueva</t>
  </si>
  <si>
    <t xml:space="preserve">Ampliación </t>
  </si>
  <si>
    <t>Remodelación</t>
  </si>
  <si>
    <t>5.1 NOMBRE ALTERNATIVA 1</t>
  </si>
  <si>
    <t>TIEMPO EVALUACIÓN (AÑOS)</t>
  </si>
  <si>
    <t>COSTO KWH ($)</t>
  </si>
  <si>
    <t>TASA DE DESCUENTO</t>
  </si>
  <si>
    <t>5.2 NOMBRE ALTERNATIVA 2</t>
  </si>
  <si>
    <t>5.3 NOMBRE ALTERNATIVA 3</t>
  </si>
  <si>
    <t>CARGA TOTAL INSTALADA (kW)</t>
  </si>
  <si>
    <t>ANÁLISIS ECONÓMICO DE UN PROYECTO(S) DE ALUMBRADO PÚBLICO</t>
  </si>
  <si>
    <t xml:space="preserve">AFORO DE ENERGÍA ELÉCTRICA ANUAL (kWh) </t>
  </si>
  <si>
    <t>7. INSERTAR ACTIVOS</t>
  </si>
  <si>
    <t>8. PARÁMETROS DE EVALUACIÓN</t>
  </si>
  <si>
    <t>tasa</t>
  </si>
  <si>
    <t>Sector que ilumina</t>
  </si>
  <si>
    <t>Categorización por numero de puntos luminosos</t>
  </si>
  <si>
    <t>&gt;75</t>
  </si>
  <si>
    <t>&gt;100</t>
  </si>
  <si>
    <t>&gt;50</t>
  </si>
  <si>
    <t>Instrucciones</t>
  </si>
  <si>
    <t>6. ÁREA (M2) ILUMINADA</t>
  </si>
  <si>
    <t>NUEVO PROYECTO</t>
  </si>
  <si>
    <t>carga</t>
  </si>
  <si>
    <t>aforo</t>
  </si>
  <si>
    <t>Proyecto 1</t>
  </si>
  <si>
    <t xml:space="preserve">Subtotal (COP): </t>
  </si>
  <si>
    <t>HPS 70W en poste red aérea</t>
  </si>
  <si>
    <t>HPS 150W en poste red aérea</t>
  </si>
  <si>
    <t>HPS 250W en poste red aérea</t>
  </si>
  <si>
    <t>HPS 400W en poste red aérea</t>
  </si>
  <si>
    <t>CMH 70W en poste red aérea</t>
  </si>
  <si>
    <t>CMH 150W en poste red aérea</t>
  </si>
  <si>
    <t>CMH 250W en poste red aérea</t>
  </si>
  <si>
    <t>CMH 400W en poste red aérea</t>
  </si>
  <si>
    <t>LED 35W en poste red aérea</t>
  </si>
  <si>
    <t>LED 60W en poste red aérea</t>
  </si>
  <si>
    <t>LED 90W en poste red aérea</t>
  </si>
  <si>
    <t>LED 120W en poste red aérea</t>
  </si>
  <si>
    <t>LED 150W en poste red aérea</t>
  </si>
  <si>
    <t>LED 180W en poste red aérea</t>
  </si>
  <si>
    <t>LED 200W en poste red aérea</t>
  </si>
  <si>
    <t>Concreto 8m - 510kgf</t>
  </si>
  <si>
    <t>Concreto 10m - 510kgf</t>
  </si>
  <si>
    <t>Concreto 12m - 510kgf</t>
  </si>
  <si>
    <t>Concreto 14m - 750kgf</t>
  </si>
  <si>
    <t>Concreto 16m - 750kgf</t>
  </si>
  <si>
    <t>Metálico 9m</t>
  </si>
  <si>
    <t>Metálico 10m</t>
  </si>
  <si>
    <t>Metálico 12m</t>
  </si>
  <si>
    <t>Metálico 14m</t>
  </si>
  <si>
    <t>Metálico 16m</t>
  </si>
  <si>
    <t>Transformador monofásico 5kVA</t>
  </si>
  <si>
    <t>Transformador monofásico 10kVA</t>
  </si>
  <si>
    <t>Transformador monofásico 15kVA</t>
  </si>
  <si>
    <t>Transformador monofásico 25kVA</t>
  </si>
  <si>
    <t>Transformador monofásico 37,5kVA</t>
  </si>
  <si>
    <t>Transformador monofásico 50kVA</t>
  </si>
  <si>
    <t>Transformador monofásico 75kVA</t>
  </si>
  <si>
    <t>Transformador trifásico 15kVA</t>
  </si>
  <si>
    <t>Transformador trifásico 30kVA</t>
  </si>
  <si>
    <t>Transformador trifásico 45kVA</t>
  </si>
  <si>
    <t>Transformador trifásico 75kVA</t>
  </si>
  <si>
    <t>CMH</t>
  </si>
  <si>
    <t xml:space="preserve"> </t>
  </si>
  <si>
    <t>EJEMPLO: ANÁLISIS ECONÓMICO DE UN PROYECTO(S) DE ALUMBRADO PÚBLICO</t>
  </si>
  <si>
    <t>Kilometo de via tipo M5</t>
  </si>
  <si>
    <t>Proyecto 2</t>
  </si>
  <si>
    <t>Kilometro de via tipo M3</t>
  </si>
  <si>
    <t>Proyecto 3</t>
  </si>
  <si>
    <t>Parque tipo</t>
  </si>
  <si>
    <t>COSTO kWh ($)</t>
  </si>
  <si>
    <r>
      <t xml:space="preserve">Los siguientes resultados corresponden al </t>
    </r>
    <r>
      <rPr>
        <b/>
        <sz val="10"/>
        <color theme="1"/>
        <rFont val="Tahoma"/>
        <family val="2"/>
      </rPr>
      <t>análisis de costos por ciclo de vida del proyecto</t>
    </r>
    <r>
      <rPr>
        <sz val="10"/>
        <color theme="1"/>
        <rFont val="Tahoma"/>
        <family val="2"/>
      </rPr>
      <t>, estimando los costos generales de las siguientes alternativas:</t>
    </r>
  </si>
  <si>
    <t>Alternativa</t>
  </si>
  <si>
    <t>Consideraciones:</t>
  </si>
  <si>
    <t>Costo kWh ($)</t>
  </si>
  <si>
    <t>Periodo evaluación (años)</t>
  </si>
  <si>
    <t>9. PARÁMETROS DE EVALUACIÓN</t>
  </si>
  <si>
    <t>8. MUNICIPIO / DISTRITO</t>
  </si>
  <si>
    <t>Proyecto:</t>
  </si>
  <si>
    <t>Municipio / Distrito:</t>
  </si>
  <si>
    <t>Ubicación:</t>
  </si>
  <si>
    <t>Tipo de proyecto:</t>
  </si>
  <si>
    <t>Clase de Obra:</t>
  </si>
  <si>
    <t>PARÁMETROS
DE EVALUACIÓN</t>
  </si>
  <si>
    <t>Tasa de descuento (%)</t>
  </si>
  <si>
    <t>Categorización del proyecto:</t>
  </si>
  <si>
    <t>Costos Iniciales
(CI)</t>
  </si>
  <si>
    <t>Costos anuales de operación (CAO)</t>
  </si>
  <si>
    <t>Valor presente de CAO</t>
  </si>
  <si>
    <t>CI + Valor Presente neto de CAO</t>
  </si>
  <si>
    <t>Costo Total Anual Equivalente</t>
  </si>
  <si>
    <t>Formato impreso el</t>
  </si>
  <si>
    <t>Periodos (años)</t>
  </si>
  <si>
    <t>CI</t>
  </si>
  <si>
    <t>CO $kWh</t>
  </si>
  <si>
    <t>CR A1</t>
  </si>
  <si>
    <t>CR A2</t>
  </si>
  <si>
    <t>CR A3</t>
  </si>
  <si>
    <t>Total</t>
  </si>
  <si>
    <t>TASA</t>
  </si>
  <si>
    <t>PERIODO EVA</t>
  </si>
  <si>
    <t xml:space="preserve">Subtotal Energía (COP): </t>
  </si>
  <si>
    <t>Costos anuales de energia</t>
  </si>
  <si>
    <t>Costos Iniciales</t>
  </si>
  <si>
    <t>Costos por reposición</t>
  </si>
  <si>
    <t>Pág. 1 de 2</t>
  </si>
  <si>
    <t>Pág. 2 de 2</t>
  </si>
  <si>
    <t>Flujo de caja simple por alternativa(s)</t>
  </si>
  <si>
    <t>Costos iniciales por área iluminada ($/m²)</t>
  </si>
  <si>
    <t>INDICADORES</t>
  </si>
  <si>
    <t>Carga instalada por área iluminada (W/m²)</t>
  </si>
  <si>
    <t>Costos anuales de operación por aréa iluminada ($/m²)</t>
  </si>
  <si>
    <t>NIVEL C</t>
  </si>
  <si>
    <t>UNIDADES CONTRACTIVAS ALUMBRADO PÚBLICO -  LUMINARIAS</t>
  </si>
  <si>
    <t>UNIDADES CONTRACTIVAS ALUMBRADO PÚBLICO -  POSTES</t>
  </si>
  <si>
    <t>Halogenuro metálico</t>
  </si>
  <si>
    <t>Concreto 13m - 510kgf</t>
  </si>
  <si>
    <t>NOMBRE:</t>
  </si>
  <si>
    <t>CORREO:</t>
  </si>
  <si>
    <t>TELÉFONO:</t>
  </si>
  <si>
    <t>IMPRIMIR PROYECTO</t>
  </si>
  <si>
    <t>9. RESPONSABLE DE LA EVALUACIÓN ECÓNOMICA</t>
  </si>
  <si>
    <t>MAT. PROFESIONAL:</t>
  </si>
  <si>
    <t>El presente flujo de caja corresponde con la evaluación de costos en precios corrientes, para cada alternativa en el tiempo establecido para su análisis, el cual depende exclusivamente de la definición de costos y vidas útiles de las Unidades Constructivas del sistema de alumbrado público -UCAP- acordadas por el Municipio.</t>
  </si>
  <si>
    <t>Esta hoja realiza una descripción mediante un video, del paso a paso para el uso de la herramienta.</t>
  </si>
  <si>
    <t>Esta hoja incluye los activos de luminarias de alumbrado público aceptados por el municipio, contienen las características técnicas de potencia, perdidas internas, vida útil, costos de inversión en base a las UCAP establecida por el municipio.</t>
  </si>
  <si>
    <t>Esta hoja incluye los activos de postes de alumbrado público aceptados por el municipio, contienen las características técnicas, vida útil, costos de inversión en base a las UCAP establecida por el municipio.</t>
  </si>
  <si>
    <t>Esta hoja incluye otros activos (transformadores, cajas, cableado, entre otros) de alumbrado público aceptados por el municipio, contienen las características técnicas, vida útil, costos de inversión en base a las UCAP establecida por el municipio.</t>
  </si>
  <si>
    <t>Esta hoja permite realizar el cálculo del análisis económico para una instalación de alumbrado público, tomando como insumo las anteriores unidades constructivas.</t>
  </si>
  <si>
    <t>Presentación de un parque típico, con una cancha multiple, plazoleta y sendero peatonal.</t>
  </si>
  <si>
    <t>VIDEO</t>
  </si>
  <si>
    <t>*El responsable de la presente evaluación económica/financiera declara que toda la información suministrada para cada alternativa valorada es veraz y cumple con todos los requisitos técnicos exigidos por el RETILAP.</t>
  </si>
  <si>
    <t>Responsable* de la presente evaluación económica/financiera</t>
  </si>
  <si>
    <t>https://youtu.be/zHh9hfpDmJ8</t>
  </si>
  <si>
    <t>Desinstalación luminaria y brazo existente para alumbrado público, entrega almacen municipal.</t>
  </si>
  <si>
    <t>BAJA TENSION</t>
  </si>
  <si>
    <t>SUBESTACION DE DISTRIBUCION</t>
  </si>
  <si>
    <t>Suministro e instalación</t>
  </si>
  <si>
    <t>Estructura 710 Transformador monofasico 5 KVA 13.2 KV/480-240V, suministro, transporte y montaje</t>
  </si>
  <si>
    <t>MEDIA TENSION</t>
  </si>
  <si>
    <t>KIT SOLAR</t>
  </si>
  <si>
    <t>Bateria</t>
  </si>
  <si>
    <t>LED 70 Watts</t>
  </si>
  <si>
    <t>Driver luminaria LED</t>
  </si>
  <si>
    <t>Sistema vial (M5-M6)</t>
  </si>
  <si>
    <t>LM70 gdsdsdf LED</t>
  </si>
  <si>
    <t>Luxamérica 2024</t>
  </si>
  <si>
    <t>Bogotá</t>
  </si>
  <si>
    <t>SODIO</t>
  </si>
  <si>
    <t>Angélica Vargas</t>
  </si>
  <si>
    <t>anvargasch@unal.edu.co</t>
  </si>
  <si>
    <t>A12345678</t>
  </si>
  <si>
    <t>• Los costos iniciales de inversión comprenden el suministro de equipos, accesorios, fijaciones, y la instalación eléctrica y civil, detallados y desglosados según las Unidades Constructivas del sistema de alumbrado público (UCAP) correspondientes al Municipio.
• Los costos operativos incluyen la carga total proyectada, el precio de la energía eléctrica y los reemplazos correctivos de cada UCAP conforme a su vida útil.
• Los costos de Administración, Operación y Mantenimiento (AOM) abarcan mantenimientos preventivos, limpieza, reparaciones, repintado, inspección, gestión, transporte, supervisión del sistema de iluminación, retiros, almacenamiento y reinstalación de equipos, todos considerados dentro del costo por la prestación del servicio de alumbrado público.
• El desarrollo de este aplicativo fue realizado por el grupo de investigación Matisse de la Universidad Nacional de Colombia, sede Bogotá. Imágenes: Ing. Mauricio Polanco. Desarrollo: Ing. Angélica Vargas Chavarro, bajo la dirección del Ing. Jesús María Quintero y el Ing. Leonardo Bermeo.
La Universidad Nacional de Colombia y el grupo de investigación no se responsabilizan por la incorrecta manipulación o uso de los datos ingresados en el aplicativo.</t>
  </si>
  <si>
    <t>Un proyecto de alumbrado público, al igual que cualquier proyecto de inversión, requiere una evaluación para determinar su viabilidad económica. La herramienta de análisis financiero propuesta, desarrollada conforme a las disposiciones del RETILAP, proporciona un marco económico para la selección entre múltiples diseños fotométricos. Esta herramienta facilita al profesional encargado de la evaluación tomar decisiones informadas sobre la eficiencia energética y la rentabilidad de la inversión en un sistema de iluminación, permitiendo una comparación objetiva con otras alternativas de inversión de capital.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</si>
</sst>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00_);\(&quot;$&quot;#,##0.00\)"/>
    <numFmt numFmtId="165" formatCode="_(&quot;$&quot;* #,##0_);_(&quot;$&quot;* \(#,##0\);_(&quot;$&quot;* &quot;-&quot;_);_(@_)"/>
    <numFmt numFmtId="166" formatCode="_(* #,##0_);_(* \(#,##0\);_(* &quot;-&quot;_);_(@_)"/>
    <numFmt numFmtId="167" formatCode="_(&quot;$&quot;* #,##0.00_);_(&quot;$&quot;* \(#,##0.00\);_(&quot;$&quot;* &quot;-&quot;??_);_(@_)"/>
    <numFmt numFmtId="168" formatCode="&quot;$&quot;\ #,##0"/>
    <numFmt numFmtId="169" formatCode="0.0%"/>
    <numFmt numFmtId="170" formatCode="0.0"/>
    <numFmt numFmtId="171" formatCode="[$-240A]dddd\,\ dd&quot; de &quot;mmmm&quot; de &quot;yyyy;@"/>
    <numFmt numFmtId="172" formatCode="_-&quot;$&quot;\ * #,##0_-;\-&quot;$&quot;\ * #,##0_-;_-&quot;$&quot;\ * &quot;-&quot;??_-;_-@_-"/>
  </numFmts>
  <fonts count="49" x14ac:knownFonts="1">
    <font>
      <sz val="11"/>
      <color theme="1"/>
      <name val="Calibri"/>
      <family val="2"/>
      <scheme val="minor"/>
    </font>
    <font>
      <sz val="11"/>
      <color theme="1"/>
      <name val="Calibri"/>
      <family val="2"/>
      <scheme val="minor"/>
    </font>
    <font>
      <sz val="11"/>
      <color theme="0"/>
      <name val="Calibri"/>
      <family val="2"/>
      <scheme val="minor"/>
    </font>
    <font>
      <b/>
      <sz val="10"/>
      <name val="Calibri"/>
      <family val="2"/>
      <scheme val="minor"/>
    </font>
    <font>
      <sz val="10"/>
      <name val="Calibri"/>
      <family val="2"/>
      <scheme val="minor"/>
    </font>
    <font>
      <sz val="9"/>
      <name val="Arial"/>
      <family val="2"/>
    </font>
    <font>
      <sz val="14"/>
      <color theme="0"/>
      <name val="Calibri"/>
      <family val="2"/>
      <scheme val="minor"/>
    </font>
    <font>
      <sz val="9"/>
      <color theme="1"/>
      <name val="Arial"/>
      <family val="2"/>
    </font>
    <font>
      <b/>
      <sz val="9"/>
      <color theme="1"/>
      <name val="Arial"/>
      <family val="2"/>
    </font>
    <font>
      <sz val="8"/>
      <name val="Calibri"/>
      <family val="2"/>
      <scheme val="minor"/>
    </font>
    <font>
      <sz val="10"/>
      <name val="MS Sans Serif"/>
      <family val="2"/>
    </font>
    <font>
      <sz val="14"/>
      <color theme="1"/>
      <name val="Calibri"/>
      <family val="2"/>
      <scheme val="minor"/>
    </font>
    <font>
      <b/>
      <sz val="14"/>
      <color rgb="FFFFFFFF"/>
      <name val="Tahoma"/>
      <family val="2"/>
    </font>
    <font>
      <b/>
      <sz val="8"/>
      <color rgb="FFFFFFFF"/>
      <name val="Tahoma"/>
      <family val="2"/>
    </font>
    <font>
      <sz val="8"/>
      <color theme="1"/>
      <name val="Tahoma"/>
      <family val="2"/>
    </font>
    <font>
      <sz val="10"/>
      <color theme="1"/>
      <name val="Tahoma"/>
      <family val="2"/>
    </font>
    <font>
      <b/>
      <sz val="11"/>
      <color theme="0"/>
      <name val="Tahoma"/>
      <family val="2"/>
    </font>
    <font>
      <sz val="11"/>
      <color theme="1"/>
      <name val="Tahoma"/>
      <family val="2"/>
    </font>
    <font>
      <b/>
      <sz val="16"/>
      <color theme="1"/>
      <name val="Tahoma"/>
      <family val="2"/>
    </font>
    <font>
      <b/>
      <sz val="14"/>
      <color theme="0"/>
      <name val="Tahoma"/>
      <family val="2"/>
    </font>
    <font>
      <sz val="14"/>
      <color theme="1"/>
      <name val="Tahoma"/>
      <family val="2"/>
    </font>
    <font>
      <b/>
      <sz val="14"/>
      <name val="Tahoma"/>
      <family val="2"/>
    </font>
    <font>
      <sz val="7"/>
      <name val="Tahoma"/>
      <family val="2"/>
    </font>
    <font>
      <sz val="8"/>
      <name val="Tahoma"/>
      <family val="2"/>
    </font>
    <font>
      <b/>
      <sz val="8"/>
      <name val="Tahoma"/>
      <family val="2"/>
    </font>
    <font>
      <sz val="11"/>
      <color theme="0"/>
      <name val="Tahoma"/>
      <family val="2"/>
    </font>
    <font>
      <sz val="11"/>
      <name val="Calibri"/>
      <family val="2"/>
      <scheme val="minor"/>
    </font>
    <font>
      <sz val="14"/>
      <name val="Calibri"/>
      <family val="2"/>
      <scheme val="minor"/>
    </font>
    <font>
      <sz val="10"/>
      <name val="Tahoma"/>
      <family val="2"/>
    </font>
    <font>
      <sz val="8"/>
      <color theme="0"/>
      <name val="Tahoma"/>
      <family val="2"/>
    </font>
    <font>
      <b/>
      <sz val="10"/>
      <color theme="1"/>
      <name val="Tahoma"/>
      <family val="2"/>
    </font>
    <font>
      <b/>
      <sz val="8"/>
      <color theme="0"/>
      <name val="Tahoma"/>
      <family val="2"/>
    </font>
    <font>
      <b/>
      <sz val="15"/>
      <color theme="1"/>
      <name val="Tahoma"/>
      <family val="2"/>
    </font>
    <font>
      <b/>
      <sz val="10"/>
      <color theme="0"/>
      <name val="Tahoma"/>
      <family val="2"/>
    </font>
    <font>
      <sz val="7"/>
      <color theme="1"/>
      <name val="Tahoma"/>
      <family val="2"/>
    </font>
    <font>
      <sz val="7"/>
      <color theme="2" tint="-9.9978637043366805E-2"/>
      <name val="Tahoma"/>
      <family val="2"/>
    </font>
    <font>
      <b/>
      <sz val="8"/>
      <color theme="1"/>
      <name val="Tahoma"/>
      <family val="2"/>
    </font>
    <font>
      <b/>
      <sz val="9"/>
      <name val="Tahoma"/>
      <family val="2"/>
    </font>
    <font>
      <b/>
      <sz val="9"/>
      <color theme="1"/>
      <name val="Tahoma"/>
      <family val="2"/>
    </font>
    <font>
      <b/>
      <sz val="10"/>
      <color theme="1"/>
      <name val="Arial"/>
      <family val="2"/>
    </font>
    <font>
      <b/>
      <sz val="11"/>
      <color theme="1"/>
      <name val="Tahoma"/>
      <family val="2"/>
    </font>
    <font>
      <b/>
      <sz val="13"/>
      <name val="Calibri"/>
      <family val="2"/>
      <scheme val="minor"/>
    </font>
    <font>
      <u/>
      <sz val="11"/>
      <color theme="10"/>
      <name val="Calibri"/>
      <family val="2"/>
      <scheme val="minor"/>
    </font>
    <font>
      <sz val="8"/>
      <color theme="2" tint="-0.499984740745262"/>
      <name val="Tahoma"/>
      <family val="2"/>
    </font>
    <font>
      <sz val="7"/>
      <color theme="2" tint="-0.499984740745262"/>
      <name val="Tahoma"/>
      <family val="2"/>
    </font>
    <font>
      <sz val="11"/>
      <color rgb="FF000000"/>
      <name val="Calibri"/>
      <family val="2"/>
    </font>
    <font>
      <sz val="10"/>
      <name val="Arial"/>
      <family val="2"/>
    </font>
    <font>
      <sz val="11"/>
      <color rgb="FFFF0000"/>
      <name val="Calibri"/>
      <family val="2"/>
      <scheme val="minor"/>
    </font>
    <font>
      <sz val="14"/>
      <color rgb="FFFF0000"/>
      <name val="Calibri"/>
      <family val="2"/>
      <scheme val="minor"/>
    </font>
  </fonts>
  <fills count="29">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385623"/>
        <bgColor indexed="64"/>
      </patternFill>
    </fill>
    <fill>
      <patternFill patternType="solid">
        <fgColor rgb="FF33333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7"/>
        <bgColor indexed="64"/>
      </patternFill>
    </fill>
    <fill>
      <patternFill patternType="solid">
        <fgColor theme="8"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0">
    <xf numFmtId="0" fontId="0" fillId="0" borderId="0"/>
    <xf numFmtId="0" fontId="2" fillId="2" borderId="0" applyNumberFormat="0" applyBorder="0" applyAlignment="0" applyProtection="0"/>
    <xf numFmtId="0" fontId="1" fillId="3" borderId="0" applyNumberFormat="0" applyBorder="0" applyAlignment="0" applyProtection="0"/>
    <xf numFmtId="0" fontId="10" fillId="0" borderId="0"/>
    <xf numFmtId="165"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42" fillId="0" borderId="0" applyNumberFormat="0" applyFill="0" applyBorder="0" applyAlignment="0" applyProtection="0"/>
    <xf numFmtId="167" fontId="46" fillId="0" borderId="0" applyFont="0" applyFill="0" applyBorder="0" applyAlignment="0" applyProtection="0"/>
  </cellStyleXfs>
  <cellXfs count="402">
    <xf numFmtId="0" fontId="0" fillId="0" borderId="0" xfId="0"/>
    <xf numFmtId="0" fontId="0" fillId="4" borderId="0" xfId="0" applyFill="1"/>
    <xf numFmtId="49" fontId="3" fillId="4" borderId="0" xfId="0" applyNumberFormat="1" applyFont="1" applyFill="1" applyAlignment="1">
      <alignment vertical="top" wrapText="1"/>
    </xf>
    <xf numFmtId="49" fontId="4" fillId="4" borderId="0" xfId="0" applyNumberFormat="1" applyFont="1" applyFill="1" applyAlignment="1">
      <alignment vertical="top" wrapText="1"/>
    </xf>
    <xf numFmtId="0" fontId="8" fillId="8" borderId="0" xfId="0" applyFont="1" applyFill="1" applyAlignment="1">
      <alignment horizontal="center" vertical="center"/>
    </xf>
    <xf numFmtId="0" fontId="11" fillId="4" borderId="0" xfId="0" applyFont="1" applyFill="1"/>
    <xf numFmtId="0" fontId="17" fillId="4" borderId="0" xfId="0" applyFont="1" applyFill="1"/>
    <xf numFmtId="169" fontId="17" fillId="4" borderId="0" xfId="0" applyNumberFormat="1" applyFont="1" applyFill="1" applyAlignment="1">
      <alignment horizontal="center"/>
    </xf>
    <xf numFmtId="165" fontId="17" fillId="4" borderId="0" xfId="4" applyFont="1" applyFill="1" applyBorder="1" applyAlignment="1">
      <alignment horizontal="center"/>
    </xf>
    <xf numFmtId="0" fontId="19" fillId="4" borderId="5" xfId="0" applyFont="1" applyFill="1" applyBorder="1" applyAlignment="1">
      <alignment horizontal="center" vertical="center"/>
    </xf>
    <xf numFmtId="0" fontId="19" fillId="4" borderId="0" xfId="0" applyFont="1" applyFill="1" applyAlignment="1">
      <alignment horizontal="center" vertical="center"/>
    </xf>
    <xf numFmtId="0" fontId="20" fillId="4" borderId="0" xfId="0" applyFont="1" applyFill="1"/>
    <xf numFmtId="0" fontId="21" fillId="4" borderId="0" xfId="0" applyFont="1" applyFill="1" applyAlignment="1">
      <alignment horizontal="center" vertical="center"/>
    </xf>
    <xf numFmtId="0" fontId="22" fillId="15" borderId="1" xfId="0" applyFont="1" applyFill="1" applyBorder="1" applyAlignment="1">
      <alignment horizontal="center" vertical="center" wrapText="1"/>
    </xf>
    <xf numFmtId="0" fontId="22" fillId="9" borderId="1" xfId="0" applyFont="1" applyFill="1" applyBorder="1" applyAlignment="1">
      <alignment horizontal="center" vertical="center" wrapText="1"/>
    </xf>
    <xf numFmtId="0" fontId="23" fillId="4" borderId="6" xfId="0" applyFont="1" applyFill="1" applyBorder="1" applyAlignment="1">
      <alignment horizontal="center" vertical="center"/>
    </xf>
    <xf numFmtId="0" fontId="23" fillId="12" borderId="1" xfId="0" applyFont="1" applyFill="1" applyBorder="1" applyAlignment="1">
      <alignment horizontal="center" vertical="center" wrapText="1"/>
    </xf>
    <xf numFmtId="168" fontId="23" fillId="12" borderId="1" xfId="0" applyNumberFormat="1" applyFont="1" applyFill="1" applyBorder="1" applyAlignment="1">
      <alignment horizontal="center" vertical="center" wrapText="1"/>
    </xf>
    <xf numFmtId="0" fontId="23" fillId="4" borderId="7" xfId="0" applyFont="1" applyFill="1" applyBorder="1"/>
    <xf numFmtId="0" fontId="23" fillId="15" borderId="1" xfId="0" applyFont="1" applyFill="1" applyBorder="1" applyAlignment="1">
      <alignment horizontal="center" vertical="center" wrapText="1"/>
    </xf>
    <xf numFmtId="168" fontId="23" fillId="15" borderId="2" xfId="0" applyNumberFormat="1" applyFont="1" applyFill="1" applyBorder="1" applyAlignment="1">
      <alignment horizontal="center" vertical="center" wrapText="1"/>
    </xf>
    <xf numFmtId="168" fontId="23" fillId="4" borderId="7" xfId="0" applyNumberFormat="1" applyFont="1" applyFill="1" applyBorder="1" applyAlignment="1">
      <alignment horizontal="center" vertical="center" wrapText="1"/>
    </xf>
    <xf numFmtId="0" fontId="23" fillId="9" borderId="1" xfId="0" applyFont="1" applyFill="1" applyBorder="1" applyAlignment="1">
      <alignment horizontal="center" vertical="center" wrapText="1"/>
    </xf>
    <xf numFmtId="168" fontId="23" fillId="9" borderId="1" xfId="0" applyNumberFormat="1"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165" fontId="14" fillId="0" borderId="1" xfId="4" applyFont="1" applyBorder="1"/>
    <xf numFmtId="165" fontId="14" fillId="12" borderId="1" xfId="4" applyFont="1" applyFill="1" applyBorder="1"/>
    <xf numFmtId="0" fontId="14" fillId="4" borderId="7" xfId="0" applyFont="1" applyFill="1" applyBorder="1"/>
    <xf numFmtId="165" fontId="14" fillId="15" borderId="1" xfId="4" applyFont="1" applyFill="1" applyBorder="1"/>
    <xf numFmtId="165" fontId="14" fillId="9" borderId="1" xfId="4" applyFont="1" applyFill="1" applyBorder="1"/>
    <xf numFmtId="0" fontId="14" fillId="4" borderId="0" xfId="0" applyFont="1" applyFill="1"/>
    <xf numFmtId="0" fontId="14" fillId="4" borderId="0" xfId="0" applyFont="1" applyFill="1" applyAlignment="1">
      <alignment horizontal="center" vertical="center"/>
    </xf>
    <xf numFmtId="165" fontId="14" fillId="4" borderId="0" xfId="4" applyFont="1" applyFill="1" applyBorder="1"/>
    <xf numFmtId="0" fontId="14" fillId="4" borderId="0" xfId="0" applyFont="1" applyFill="1" applyAlignment="1">
      <alignment horizontal="left"/>
    </xf>
    <xf numFmtId="0" fontId="23" fillId="4" borderId="7" xfId="0" applyFont="1" applyFill="1" applyBorder="1" applyAlignment="1">
      <alignment horizontal="center" vertical="center"/>
    </xf>
    <xf numFmtId="0" fontId="23" fillId="13" borderId="1" xfId="0" applyFont="1" applyFill="1" applyBorder="1" applyAlignment="1">
      <alignment horizontal="center" vertical="center" wrapText="1"/>
    </xf>
    <xf numFmtId="168" fontId="23" fillId="13" borderId="1" xfId="0" applyNumberFormat="1" applyFont="1" applyFill="1" applyBorder="1" applyAlignment="1">
      <alignment horizontal="center" vertical="center" wrapText="1"/>
    </xf>
    <xf numFmtId="0" fontId="23" fillId="16" borderId="4" xfId="0" applyFont="1" applyFill="1" applyBorder="1" applyAlignment="1">
      <alignment horizontal="center" vertical="center" wrapText="1"/>
    </xf>
    <xf numFmtId="0" fontId="23" fillId="16" borderId="1" xfId="0" applyFont="1" applyFill="1" applyBorder="1" applyAlignment="1">
      <alignment horizontal="center" vertical="center" wrapText="1"/>
    </xf>
    <xf numFmtId="168" fontId="23" fillId="16" borderId="1" xfId="0" applyNumberFormat="1" applyFont="1" applyFill="1" applyBorder="1" applyAlignment="1">
      <alignment horizontal="center" vertical="center" wrapText="1"/>
    </xf>
    <xf numFmtId="0" fontId="23" fillId="18" borderId="1" xfId="0" applyFont="1" applyFill="1" applyBorder="1" applyAlignment="1">
      <alignment horizontal="center" vertical="center" wrapText="1"/>
    </xf>
    <xf numFmtId="168" fontId="23" fillId="18" borderId="1" xfId="0" applyNumberFormat="1" applyFont="1" applyFill="1" applyBorder="1" applyAlignment="1">
      <alignment horizontal="center" vertical="center" wrapText="1"/>
    </xf>
    <xf numFmtId="165" fontId="14" fillId="13" borderId="1" xfId="4" applyFont="1" applyFill="1" applyBorder="1"/>
    <xf numFmtId="165" fontId="14" fillId="16" borderId="1" xfId="4" applyFont="1" applyFill="1" applyBorder="1"/>
    <xf numFmtId="165" fontId="14" fillId="18" borderId="1" xfId="4" applyFont="1" applyFill="1" applyBorder="1"/>
    <xf numFmtId="0" fontId="23" fillId="14" borderId="1" xfId="0" applyFont="1" applyFill="1" applyBorder="1" applyAlignment="1">
      <alignment horizontal="center" vertical="center" wrapText="1"/>
    </xf>
    <xf numFmtId="168" fontId="23" fillId="14" borderId="1" xfId="0" applyNumberFormat="1" applyFont="1" applyFill="1" applyBorder="1" applyAlignment="1">
      <alignment horizontal="center" vertical="center" wrapText="1"/>
    </xf>
    <xf numFmtId="0" fontId="23" fillId="17" borderId="4" xfId="0" applyFont="1" applyFill="1" applyBorder="1" applyAlignment="1">
      <alignment horizontal="center" vertical="center" wrapText="1"/>
    </xf>
    <xf numFmtId="0" fontId="23" fillId="17" borderId="1" xfId="0" applyFont="1" applyFill="1" applyBorder="1" applyAlignment="1">
      <alignment horizontal="center" vertical="center" wrapText="1"/>
    </xf>
    <xf numFmtId="168" fontId="23" fillId="17" borderId="2" xfId="0" applyNumberFormat="1" applyFont="1" applyFill="1" applyBorder="1" applyAlignment="1">
      <alignment horizontal="center" vertical="center" wrapText="1"/>
    </xf>
    <xf numFmtId="0" fontId="23" fillId="19" borderId="1" xfId="0" applyFont="1" applyFill="1" applyBorder="1" applyAlignment="1">
      <alignment horizontal="center" vertical="center" wrapText="1"/>
    </xf>
    <xf numFmtId="168" fontId="23" fillId="19" borderId="1" xfId="0" applyNumberFormat="1" applyFont="1" applyFill="1" applyBorder="1" applyAlignment="1">
      <alignment horizontal="center" vertical="center" wrapText="1"/>
    </xf>
    <xf numFmtId="165" fontId="14" fillId="14" borderId="1" xfId="4" applyFont="1" applyFill="1" applyBorder="1"/>
    <xf numFmtId="165" fontId="14" fillId="17" borderId="1" xfId="4" applyFont="1" applyFill="1" applyBorder="1"/>
    <xf numFmtId="165" fontId="14" fillId="19" borderId="1" xfId="4" applyFont="1" applyFill="1" applyBorder="1"/>
    <xf numFmtId="0" fontId="23" fillId="15" borderId="4" xfId="0" applyFont="1" applyFill="1" applyBorder="1" applyAlignment="1">
      <alignment horizontal="center" vertical="center" wrapText="1"/>
    </xf>
    <xf numFmtId="168" fontId="23" fillId="15" borderId="1" xfId="0" applyNumberFormat="1" applyFont="1" applyFill="1" applyBorder="1" applyAlignment="1">
      <alignment horizontal="center" vertical="center" wrapText="1"/>
    </xf>
    <xf numFmtId="165" fontId="16" fillId="20" borderId="4" xfId="4" applyFont="1" applyFill="1" applyBorder="1" applyAlignment="1">
      <alignment vertical="center"/>
    </xf>
    <xf numFmtId="165" fontId="16" fillId="21" borderId="4" xfId="4" applyFont="1" applyFill="1" applyBorder="1" applyAlignment="1">
      <alignment vertical="center"/>
    </xf>
    <xf numFmtId="165" fontId="16" fillId="22" borderId="4" xfId="4" applyFont="1" applyFill="1" applyBorder="1" applyAlignment="1">
      <alignment vertical="center"/>
    </xf>
    <xf numFmtId="0" fontId="25" fillId="4" borderId="0" xfId="0" applyFont="1" applyFill="1"/>
    <xf numFmtId="0" fontId="16" fillId="4" borderId="0" xfId="0" applyFont="1" applyFill="1"/>
    <xf numFmtId="0" fontId="14" fillId="4" borderId="0" xfId="0" applyFont="1" applyFill="1" applyAlignment="1">
      <alignment horizontal="left" vertical="center"/>
    </xf>
    <xf numFmtId="0" fontId="17" fillId="4" borderId="0" xfId="0" applyFont="1" applyFill="1" applyAlignment="1">
      <alignment horizontal="left"/>
    </xf>
    <xf numFmtId="0" fontId="0" fillId="0" borderId="1" xfId="0" applyBorder="1" applyAlignment="1">
      <alignment horizontal="center"/>
    </xf>
    <xf numFmtId="0" fontId="0" fillId="0" borderId="1" xfId="0" applyBorder="1"/>
    <xf numFmtId="0" fontId="17" fillId="4" borderId="0" xfId="0" applyFont="1" applyFill="1" applyAlignment="1">
      <alignment horizontal="center"/>
    </xf>
    <xf numFmtId="0" fontId="26" fillId="4" borderId="0" xfId="0" applyFont="1" applyFill="1"/>
    <xf numFmtId="0" fontId="27" fillId="4" borderId="0" xfId="0" applyFont="1" applyFill="1"/>
    <xf numFmtId="170" fontId="14" fillId="0" borderId="1" xfId="5" applyNumberFormat="1" applyFont="1" applyBorder="1" applyAlignment="1">
      <alignment horizontal="center"/>
    </xf>
    <xf numFmtId="168" fontId="14" fillId="12" borderId="1" xfId="4" applyNumberFormat="1" applyFont="1" applyFill="1" applyBorder="1"/>
    <xf numFmtId="170" fontId="14" fillId="0" borderId="1" xfId="0" applyNumberFormat="1" applyFont="1" applyBorder="1" applyAlignment="1">
      <alignment horizontal="center"/>
    </xf>
    <xf numFmtId="0" fontId="2" fillId="4" borderId="0" xfId="0" applyFont="1" applyFill="1"/>
    <xf numFmtId="0" fontId="6" fillId="4" borderId="0" xfId="0" applyFont="1" applyFill="1"/>
    <xf numFmtId="0" fontId="0" fillId="20" borderId="0" xfId="0" applyFill="1"/>
    <xf numFmtId="0" fontId="15" fillId="4" borderId="0" xfId="0" applyFont="1" applyFill="1" applyAlignment="1">
      <alignment horizontal="center"/>
    </xf>
    <xf numFmtId="0" fontId="29" fillId="4" borderId="0" xfId="0" applyFont="1" applyFill="1"/>
    <xf numFmtId="0" fontId="14" fillId="0" borderId="0" xfId="0" applyFont="1"/>
    <xf numFmtId="169" fontId="15" fillId="4" borderId="1" xfId="0" applyNumberFormat="1" applyFont="1" applyFill="1" applyBorder="1" applyAlignment="1" applyProtection="1">
      <alignment horizontal="center" vertical="center"/>
      <protection locked="0"/>
    </xf>
    <xf numFmtId="0" fontId="15" fillId="4" borderId="0" xfId="0" applyFont="1" applyFill="1" applyAlignment="1">
      <alignment horizontal="center" vertical="center"/>
    </xf>
    <xf numFmtId="0" fontId="15" fillId="4" borderId="1" xfId="0" applyFont="1" applyFill="1" applyBorder="1" applyAlignment="1">
      <alignment horizontal="center" vertical="center"/>
    </xf>
    <xf numFmtId="165" fontId="15" fillId="4" borderId="1" xfId="4" applyFont="1" applyFill="1" applyBorder="1" applyAlignment="1">
      <alignment horizontal="center" vertical="center"/>
    </xf>
    <xf numFmtId="0" fontId="14" fillId="0" borderId="1" xfId="0" applyFont="1" applyBorder="1" applyAlignment="1">
      <alignment horizontal="left"/>
    </xf>
    <xf numFmtId="0" fontId="22" fillId="12" borderId="1" xfId="0" applyFont="1" applyFill="1" applyBorder="1" applyAlignment="1">
      <alignment horizontal="center" vertical="center" wrapText="1"/>
    </xf>
    <xf numFmtId="10" fontId="0" fillId="0" borderId="0" xfId="0" applyNumberFormat="1"/>
    <xf numFmtId="170" fontId="14" fillId="12" borderId="1" xfId="4" applyNumberFormat="1" applyFont="1" applyFill="1" applyBorder="1"/>
    <xf numFmtId="170" fontId="14" fillId="15" borderId="1" xfId="4" applyNumberFormat="1" applyFont="1" applyFill="1" applyBorder="1"/>
    <xf numFmtId="170" fontId="14" fillId="9" borderId="1" xfId="4" applyNumberFormat="1" applyFont="1" applyFill="1" applyBorder="1"/>
    <xf numFmtId="0" fontId="7" fillId="8" borderId="0" xfId="0" applyFont="1" applyFill="1" applyAlignment="1">
      <alignment vertical="center"/>
    </xf>
    <xf numFmtId="0" fontId="7" fillId="8" borderId="0" xfId="0" applyFont="1" applyFill="1" applyAlignment="1">
      <alignment horizontal="center" vertical="center"/>
    </xf>
    <xf numFmtId="0" fontId="7" fillId="0" borderId="0" xfId="0" applyFont="1" applyAlignment="1">
      <alignment vertical="center"/>
    </xf>
    <xf numFmtId="0" fontId="7" fillId="8" borderId="5" xfId="0" applyFont="1" applyFill="1" applyBorder="1" applyAlignment="1">
      <alignment vertical="center"/>
    </xf>
    <xf numFmtId="0" fontId="8" fillId="8" borderId="9" xfId="0" applyFont="1" applyFill="1" applyBorder="1" applyAlignment="1">
      <alignment horizontal="center" vertical="center"/>
    </xf>
    <xf numFmtId="165" fontId="7" fillId="0" borderId="0" xfId="4" applyFont="1" applyAlignment="1">
      <alignment vertical="center"/>
    </xf>
    <xf numFmtId="0" fontId="7" fillId="0" borderId="0" xfId="0" applyFont="1" applyAlignment="1">
      <alignment horizontal="center" vertical="center"/>
    </xf>
    <xf numFmtId="0" fontId="7" fillId="8" borderId="5" xfId="0" applyFont="1" applyFill="1" applyBorder="1" applyAlignment="1">
      <alignment horizontal="center" vertical="center"/>
    </xf>
    <xf numFmtId="0" fontId="15" fillId="0" borderId="0" xfId="0" applyFont="1" applyAlignment="1">
      <alignment vertical="center" wrapText="1"/>
    </xf>
    <xf numFmtId="0" fontId="0" fillId="20" borderId="0" xfId="0" applyFill="1" applyAlignment="1">
      <alignment vertical="center"/>
    </xf>
    <xf numFmtId="0" fontId="0" fillId="4" borderId="0" xfId="0" applyFill="1" applyAlignment="1">
      <alignment vertical="center"/>
    </xf>
    <xf numFmtId="0" fontId="0" fillId="0" borderId="0" xfId="0" applyAlignment="1">
      <alignment vertical="center"/>
    </xf>
    <xf numFmtId="0" fontId="25" fillId="4" borderId="0" xfId="0" applyFont="1" applyFill="1" applyAlignment="1">
      <alignment vertical="center"/>
    </xf>
    <xf numFmtId="0" fontId="16" fillId="4" borderId="0" xfId="0" applyFont="1" applyFill="1" applyAlignment="1">
      <alignment vertical="center"/>
    </xf>
    <xf numFmtId="0" fontId="17" fillId="4" borderId="0" xfId="0" applyFont="1" applyFill="1" applyAlignment="1">
      <alignment vertical="center"/>
    </xf>
    <xf numFmtId="0" fontId="14" fillId="4" borderId="0" xfId="0" applyFont="1" applyFill="1" applyAlignment="1">
      <alignment vertical="center"/>
    </xf>
    <xf numFmtId="0" fontId="17" fillId="4" borderId="0" xfId="0" applyFont="1" applyFill="1" applyAlignment="1">
      <alignment horizontal="left" vertical="center"/>
    </xf>
    <xf numFmtId="0" fontId="29" fillId="4" borderId="0" xfId="0" applyFont="1" applyFill="1" applyAlignment="1">
      <alignment vertical="center"/>
    </xf>
    <xf numFmtId="0" fontId="17" fillId="4" borderId="0" xfId="0" applyFont="1" applyFill="1" applyAlignment="1">
      <alignment horizontal="center" vertical="center"/>
    </xf>
    <xf numFmtId="0" fontId="14" fillId="0" borderId="0" xfId="0" applyFont="1" applyAlignment="1">
      <alignment vertical="center"/>
    </xf>
    <xf numFmtId="0" fontId="23" fillId="4" borderId="7" xfId="0" applyFont="1" applyFill="1" applyBorder="1" applyAlignment="1">
      <alignment vertical="center"/>
    </xf>
    <xf numFmtId="0" fontId="14" fillId="0" borderId="1" xfId="0" applyFont="1" applyBorder="1" applyAlignment="1">
      <alignment vertical="center"/>
    </xf>
    <xf numFmtId="0" fontId="14" fillId="0" borderId="1" xfId="0" applyFont="1" applyBorder="1" applyAlignment="1">
      <alignment horizontal="center" vertical="center"/>
    </xf>
    <xf numFmtId="170" fontId="14" fillId="0" borderId="1" xfId="0" applyNumberFormat="1" applyFont="1" applyBorder="1" applyAlignment="1">
      <alignment horizontal="center" vertical="center"/>
    </xf>
    <xf numFmtId="165" fontId="14" fillId="0" borderId="1" xfId="4" applyFont="1" applyBorder="1" applyAlignment="1">
      <alignment vertical="center"/>
    </xf>
    <xf numFmtId="165" fontId="14" fillId="12" borderId="1" xfId="4" applyFont="1" applyFill="1" applyBorder="1" applyAlignment="1">
      <alignment vertical="center"/>
    </xf>
    <xf numFmtId="0" fontId="14" fillId="4" borderId="7" xfId="0" applyFont="1" applyFill="1" applyBorder="1" applyAlignment="1">
      <alignment vertical="center"/>
    </xf>
    <xf numFmtId="165" fontId="14" fillId="15" borderId="1" xfId="4" applyFont="1" applyFill="1" applyBorder="1" applyAlignment="1">
      <alignment vertical="center"/>
    </xf>
    <xf numFmtId="165" fontId="14" fillId="9" borderId="1" xfId="4" applyFont="1" applyFill="1" applyBorder="1" applyAlignment="1">
      <alignment vertical="center"/>
    </xf>
    <xf numFmtId="165" fontId="14" fillId="4" borderId="0" xfId="4" applyFont="1" applyFill="1" applyBorder="1" applyAlignment="1">
      <alignment vertical="center"/>
    </xf>
    <xf numFmtId="165" fontId="14" fillId="13" borderId="1" xfId="4" applyFont="1" applyFill="1" applyBorder="1" applyAlignment="1">
      <alignment vertical="center"/>
    </xf>
    <xf numFmtId="165" fontId="14" fillId="16" borderId="1" xfId="4" applyFont="1" applyFill="1" applyBorder="1" applyAlignment="1">
      <alignment vertical="center"/>
    </xf>
    <xf numFmtId="165" fontId="14" fillId="18" borderId="1" xfId="4" applyFont="1" applyFill="1" applyBorder="1" applyAlignment="1">
      <alignment vertical="center"/>
    </xf>
    <xf numFmtId="0" fontId="14" fillId="0" borderId="1" xfId="0" applyFont="1" applyBorder="1" applyAlignment="1">
      <alignment horizontal="left" vertical="center"/>
    </xf>
    <xf numFmtId="165" fontId="14" fillId="14" borderId="1" xfId="4" applyFont="1" applyFill="1" applyBorder="1" applyAlignment="1">
      <alignment vertical="center"/>
    </xf>
    <xf numFmtId="165" fontId="14" fillId="17" borderId="1" xfId="4" applyFont="1" applyFill="1" applyBorder="1" applyAlignment="1">
      <alignment vertical="center"/>
    </xf>
    <xf numFmtId="165" fontId="14" fillId="19" borderId="1" xfId="4" applyFont="1" applyFill="1" applyBorder="1" applyAlignment="1">
      <alignment vertical="center"/>
    </xf>
    <xf numFmtId="0" fontId="11" fillId="4" borderId="0" xfId="0" applyFont="1" applyFill="1" applyAlignment="1">
      <alignment vertical="center"/>
    </xf>
    <xf numFmtId="0" fontId="20" fillId="4" borderId="0" xfId="0" applyFont="1" applyFill="1" applyAlignment="1">
      <alignment vertical="center"/>
    </xf>
    <xf numFmtId="170" fontId="14" fillId="0" borderId="1" xfId="5" applyNumberFormat="1" applyFont="1" applyBorder="1" applyAlignment="1">
      <alignment horizontal="center" vertical="center"/>
    </xf>
    <xf numFmtId="168" fontId="14" fillId="12" borderId="1" xfId="4" applyNumberFormat="1" applyFont="1" applyFill="1" applyBorder="1" applyAlignment="1">
      <alignment vertical="center"/>
    </xf>
    <xf numFmtId="170" fontId="14" fillId="12" borderId="1" xfId="4" applyNumberFormat="1" applyFont="1" applyFill="1" applyBorder="1" applyAlignment="1">
      <alignment vertical="center"/>
    </xf>
    <xf numFmtId="170" fontId="14" fillId="15" borderId="1" xfId="4" applyNumberFormat="1" applyFont="1" applyFill="1" applyBorder="1" applyAlignment="1">
      <alignment vertical="center"/>
    </xf>
    <xf numFmtId="170" fontId="14" fillId="9" borderId="1" xfId="4" applyNumberFormat="1" applyFont="1" applyFill="1" applyBorder="1" applyAlignment="1">
      <alignment vertical="center"/>
    </xf>
    <xf numFmtId="0" fontId="15" fillId="0" borderId="0" xfId="0" applyFont="1" applyAlignment="1">
      <alignment vertical="center"/>
    </xf>
    <xf numFmtId="0" fontId="17" fillId="0" borderId="0" xfId="0" applyFont="1" applyAlignment="1">
      <alignment vertical="center"/>
    </xf>
    <xf numFmtId="0" fontId="30" fillId="0" borderId="0" xfId="0" applyFont="1" applyAlignment="1">
      <alignment vertical="center"/>
    </xf>
    <xf numFmtId="0" fontId="32" fillId="0" borderId="0" xfId="0" applyFont="1" applyAlignment="1">
      <alignment horizontal="right" vertical="center" wrapText="1"/>
    </xf>
    <xf numFmtId="0" fontId="32"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horizontal="center" vertical="center"/>
    </xf>
    <xf numFmtId="165" fontId="14" fillId="0" borderId="0" xfId="0" applyNumberFormat="1" applyFont="1" applyAlignment="1">
      <alignment horizontal="center" vertical="center"/>
    </xf>
    <xf numFmtId="172" fontId="14" fillId="0" borderId="0" xfId="7" applyNumberFormat="1" applyFont="1" applyAlignment="1">
      <alignment horizontal="center" vertical="center"/>
    </xf>
    <xf numFmtId="0" fontId="14" fillId="0" borderId="0" xfId="0" applyFont="1" applyAlignment="1">
      <alignment horizontal="left" vertical="center"/>
    </xf>
    <xf numFmtId="165" fontId="14" fillId="27" borderId="0" xfId="0" applyNumberFormat="1" applyFont="1" applyFill="1" applyAlignment="1">
      <alignment horizontal="center" vertical="center"/>
    </xf>
    <xf numFmtId="0" fontId="14" fillId="0" borderId="9" xfId="0" applyFont="1" applyBorder="1" applyAlignment="1">
      <alignment vertical="center" wrapText="1"/>
    </xf>
    <xf numFmtId="1" fontId="14" fillId="28" borderId="0" xfId="0" applyNumberFormat="1" applyFont="1" applyFill="1" applyAlignment="1">
      <alignment horizontal="center" vertical="center"/>
    </xf>
    <xf numFmtId="0" fontId="17" fillId="0" borderId="9" xfId="0" applyFont="1" applyBorder="1" applyAlignment="1">
      <alignment vertical="center"/>
    </xf>
    <xf numFmtId="0" fontId="17" fillId="0" borderId="5" xfId="0" applyFont="1" applyBorder="1" applyAlignment="1">
      <alignment vertical="center"/>
    </xf>
    <xf numFmtId="0" fontId="30" fillId="0" borderId="0" xfId="0" applyFont="1" applyAlignment="1">
      <alignment vertical="center" wrapText="1"/>
    </xf>
    <xf numFmtId="0" fontId="39" fillId="0" borderId="0" xfId="0" applyFont="1" applyAlignment="1">
      <alignment vertical="center"/>
    </xf>
    <xf numFmtId="0" fontId="5" fillId="0" borderId="0" xfId="3" applyFont="1" applyAlignment="1" applyProtection="1">
      <alignment vertical="center"/>
      <protection locked="0"/>
    </xf>
    <xf numFmtId="0" fontId="7" fillId="0" borderId="0" xfId="0" applyFont="1" applyAlignment="1" applyProtection="1">
      <alignment horizontal="center" vertical="center"/>
      <protection locked="0"/>
    </xf>
    <xf numFmtId="165" fontId="7" fillId="0" borderId="0" xfId="4" applyFont="1" applyBorder="1" applyAlignment="1" applyProtection="1">
      <alignment horizontal="center" vertical="center"/>
      <protection locked="0"/>
    </xf>
    <xf numFmtId="0" fontId="7" fillId="0" borderId="0" xfId="0" applyFont="1" applyAlignment="1" applyProtection="1">
      <alignment vertical="center"/>
      <protection locked="0"/>
    </xf>
    <xf numFmtId="165" fontId="7" fillId="0" borderId="0" xfId="4" applyFont="1" applyAlignment="1" applyProtection="1">
      <alignment vertical="center"/>
      <protection locked="0"/>
    </xf>
    <xf numFmtId="10" fontId="15" fillId="4" borderId="1" xfId="0" applyNumberFormat="1" applyFont="1" applyFill="1" applyBorder="1" applyAlignment="1" applyProtection="1">
      <alignment horizontal="center" vertical="center"/>
      <protection locked="0"/>
    </xf>
    <xf numFmtId="0" fontId="14" fillId="0" borderId="0" xfId="0" applyFont="1" applyAlignment="1" applyProtection="1">
      <alignment horizontal="center" vertical="center"/>
      <protection locked="0"/>
    </xf>
    <xf numFmtId="164" fontId="14" fillId="0" borderId="0" xfId="0" applyNumberFormat="1" applyFont="1" applyAlignment="1" applyProtection="1">
      <alignment horizontal="center" vertical="center"/>
      <protection locked="0"/>
    </xf>
    <xf numFmtId="165" fontId="14" fillId="0" borderId="0" xfId="0" applyNumberFormat="1" applyFont="1" applyAlignment="1" applyProtection="1">
      <alignment horizontal="center" vertical="center"/>
      <protection locked="0"/>
    </xf>
    <xf numFmtId="165" fontId="15" fillId="4" borderId="1" xfId="4" applyFont="1" applyFill="1" applyBorder="1" applyAlignment="1" applyProtection="1">
      <alignment horizontal="center" vertical="center"/>
      <protection locked="0"/>
    </xf>
    <xf numFmtId="0" fontId="47" fillId="4" borderId="0" xfId="0" applyFont="1" applyFill="1" applyAlignment="1">
      <alignment vertical="center"/>
    </xf>
    <xf numFmtId="0" fontId="47" fillId="0" borderId="0" xfId="0" applyFont="1" applyAlignment="1">
      <alignment vertical="center"/>
    </xf>
    <xf numFmtId="0" fontId="48" fillId="4" borderId="0" xfId="0" applyFont="1" applyFill="1" applyAlignment="1">
      <alignment vertical="center"/>
    </xf>
    <xf numFmtId="0" fontId="36" fillId="0" borderId="0" xfId="0" applyFont="1" applyAlignment="1">
      <alignment horizontal="center" vertical="center" wrapText="1"/>
    </xf>
    <xf numFmtId="172" fontId="38" fillId="0" borderId="0" xfId="7" applyNumberFormat="1" applyFont="1" applyFill="1" applyBorder="1" applyAlignment="1">
      <alignment horizontal="center" vertical="center" wrapText="1"/>
    </xf>
    <xf numFmtId="2" fontId="38" fillId="0" borderId="0" xfId="0" applyNumberFormat="1" applyFont="1" applyAlignment="1">
      <alignment horizontal="center" vertical="center" wrapText="1"/>
    </xf>
    <xf numFmtId="0" fontId="47" fillId="0" borderId="0" xfId="0" applyFont="1"/>
    <xf numFmtId="0" fontId="2" fillId="4" borderId="0" xfId="0" applyFont="1" applyFill="1" applyAlignment="1">
      <alignment vertical="center"/>
    </xf>
    <xf numFmtId="0" fontId="6" fillId="4" borderId="0" xfId="0" applyFont="1" applyFill="1" applyAlignment="1">
      <alignment vertical="center"/>
    </xf>
    <xf numFmtId="170" fontId="15" fillId="4" borderId="1" xfId="0" applyNumberFormat="1" applyFont="1" applyFill="1" applyBorder="1" applyAlignment="1" applyProtection="1">
      <alignment horizontal="center" vertical="center"/>
      <protection locked="0"/>
    </xf>
    <xf numFmtId="49" fontId="3" fillId="7" borderId="0" xfId="0" applyNumberFormat="1" applyFont="1" applyFill="1" applyAlignment="1">
      <alignment horizontal="left" vertical="center" wrapText="1"/>
    </xf>
    <xf numFmtId="49" fontId="41" fillId="24" borderId="0" xfId="0" applyNumberFormat="1" applyFont="1" applyFill="1" applyAlignment="1">
      <alignment horizontal="left" vertical="center" wrapText="1"/>
    </xf>
    <xf numFmtId="49" fontId="41" fillId="6" borderId="0" xfId="0" applyNumberFormat="1" applyFont="1" applyFill="1" applyAlignment="1">
      <alignment horizontal="left" vertical="center" wrapText="1"/>
    </xf>
    <xf numFmtId="49" fontId="41" fillId="5" borderId="0" xfId="0" applyNumberFormat="1" applyFont="1" applyFill="1" applyAlignment="1">
      <alignment horizontal="left" vertical="center" wrapText="1"/>
    </xf>
    <xf numFmtId="0" fontId="42" fillId="4" borderId="0" xfId="8" applyFill="1" applyAlignment="1">
      <alignment horizontal="center"/>
    </xf>
    <xf numFmtId="0" fontId="39" fillId="8" borderId="0" xfId="0" applyFont="1" applyFill="1" applyAlignment="1">
      <alignment horizontal="center" vertical="center"/>
    </xf>
    <xf numFmtId="0" fontId="19" fillId="23" borderId="0" xfId="0" applyFont="1" applyFill="1" applyAlignment="1">
      <alignment horizontal="center" vertical="center"/>
    </xf>
    <xf numFmtId="0" fontId="24" fillId="12" borderId="1" xfId="0" applyFont="1" applyFill="1" applyBorder="1" applyAlignment="1">
      <alignment horizontal="center" vertical="center"/>
    </xf>
    <xf numFmtId="0" fontId="24" fillId="12" borderId="1" xfId="0" applyFont="1" applyFill="1" applyBorder="1" applyAlignment="1">
      <alignment vertical="center"/>
    </xf>
    <xf numFmtId="0" fontId="24" fillId="12" borderId="3" xfId="0" applyFont="1" applyFill="1" applyBorder="1" applyAlignment="1">
      <alignment horizontal="center" vertical="center"/>
    </xf>
    <xf numFmtId="0" fontId="24" fillId="15" borderId="3" xfId="0" applyFont="1" applyFill="1" applyBorder="1" applyAlignment="1">
      <alignment horizontal="center" vertical="center"/>
    </xf>
    <xf numFmtId="0" fontId="24" fillId="9" borderId="4" xfId="0" applyFont="1" applyFill="1" applyBorder="1" applyAlignment="1">
      <alignment horizontal="center" vertical="center"/>
    </xf>
    <xf numFmtId="0" fontId="24" fillId="9" borderId="4" xfId="0" applyFont="1" applyFill="1" applyBorder="1" applyAlignment="1">
      <alignment vertical="center"/>
    </xf>
    <xf numFmtId="0" fontId="24" fillId="9" borderId="2" xfId="0" applyFont="1" applyFill="1" applyBorder="1" applyAlignment="1">
      <alignment horizontal="center" vertical="center"/>
    </xf>
    <xf numFmtId="0" fontId="24" fillId="9" borderId="3" xfId="0" applyFont="1" applyFill="1" applyBorder="1" applyAlignment="1">
      <alignment horizontal="center" vertical="center"/>
    </xf>
    <xf numFmtId="0" fontId="17" fillId="4" borderId="5" xfId="0" applyFont="1" applyFill="1" applyBorder="1" applyAlignment="1">
      <alignment horizontal="center" vertical="center"/>
    </xf>
    <xf numFmtId="0" fontId="17" fillId="4" borderId="0" xfId="0" applyFont="1" applyFill="1" applyAlignment="1">
      <alignment horizontal="center" vertical="center"/>
    </xf>
    <xf numFmtId="0" fontId="17" fillId="4" borderId="3" xfId="0" applyFont="1" applyFill="1" applyBorder="1" applyAlignment="1">
      <alignment horizontal="center" vertical="center"/>
    </xf>
    <xf numFmtId="0" fontId="15" fillId="4" borderId="3" xfId="0" applyFont="1" applyFill="1" applyBorder="1" applyAlignment="1">
      <alignment horizontal="center" vertical="center"/>
    </xf>
    <xf numFmtId="0" fontId="18" fillId="4" borderId="0" xfId="0" applyFont="1" applyFill="1" applyAlignment="1">
      <alignment horizontal="center" vertical="center"/>
    </xf>
    <xf numFmtId="0" fontId="24" fillId="15" borderId="1" xfId="0" applyFont="1" applyFill="1" applyBorder="1" applyAlignment="1">
      <alignment horizontal="center" vertical="center"/>
    </xf>
    <xf numFmtId="0" fontId="13" fillId="11" borderId="1" xfId="0" applyFont="1" applyFill="1" applyBorder="1" applyAlignment="1">
      <alignment horizontal="left" vertical="center"/>
    </xf>
    <xf numFmtId="170" fontId="28" fillId="4" borderId="2" xfId="0" applyNumberFormat="1" applyFont="1" applyFill="1" applyBorder="1" applyAlignment="1" applyProtection="1">
      <alignment horizontal="center" vertical="center"/>
      <protection locked="0"/>
    </xf>
    <xf numFmtId="170" fontId="28" fillId="4" borderId="4" xfId="0" applyNumberFormat="1" applyFont="1" applyFill="1" applyBorder="1" applyAlignment="1" applyProtection="1">
      <alignment horizontal="center" vertical="center"/>
      <protection locked="0"/>
    </xf>
    <xf numFmtId="0" fontId="13" fillId="11" borderId="2" xfId="0" applyFont="1" applyFill="1" applyBorder="1" applyAlignment="1">
      <alignment horizontal="left" vertical="center"/>
    </xf>
    <xf numFmtId="0" fontId="13" fillId="11" borderId="4" xfId="0" applyFont="1" applyFill="1" applyBorder="1" applyAlignment="1">
      <alignment horizontal="left" vertical="center"/>
    </xf>
    <xf numFmtId="0" fontId="13" fillId="11" borderId="0" xfId="0" applyFont="1" applyFill="1" applyAlignment="1">
      <alignment horizontal="center" vertical="center"/>
    </xf>
    <xf numFmtId="0" fontId="28" fillId="4" borderId="2" xfId="0" applyFont="1" applyFill="1" applyBorder="1" applyAlignment="1" applyProtection="1">
      <alignment horizontal="center" vertical="center"/>
      <protection locked="0"/>
    </xf>
    <xf numFmtId="0" fontId="28" fillId="4" borderId="3" xfId="0" applyFont="1" applyFill="1" applyBorder="1" applyAlignment="1" applyProtection="1">
      <alignment horizontal="center" vertical="center"/>
      <protection locked="0"/>
    </xf>
    <xf numFmtId="0" fontId="28" fillId="4" borderId="4" xfId="0" applyFont="1" applyFill="1" applyBorder="1" applyAlignment="1" applyProtection="1">
      <alignment horizontal="center" vertical="center"/>
      <protection locked="0"/>
    </xf>
    <xf numFmtId="0" fontId="15" fillId="4" borderId="2" xfId="0" applyFont="1" applyFill="1" applyBorder="1" applyAlignment="1" applyProtection="1">
      <alignment horizontal="center" vertical="center"/>
      <protection locked="0"/>
    </xf>
    <xf numFmtId="0" fontId="15" fillId="4" borderId="3" xfId="0" applyFont="1" applyFill="1" applyBorder="1" applyAlignment="1" applyProtection="1">
      <alignment horizontal="center" vertical="center"/>
      <protection locked="0"/>
    </xf>
    <xf numFmtId="0" fontId="15" fillId="4" borderId="4" xfId="0" applyFont="1" applyFill="1" applyBorder="1" applyAlignment="1" applyProtection="1">
      <alignment horizontal="center" vertical="center"/>
      <protection locked="0"/>
    </xf>
    <xf numFmtId="0" fontId="17" fillId="4" borderId="0" xfId="0" applyFont="1" applyFill="1" applyAlignment="1">
      <alignment horizontal="center" vertical="center" wrapText="1"/>
    </xf>
    <xf numFmtId="1" fontId="15" fillId="4" borderId="2" xfId="7" applyNumberFormat="1" applyFont="1" applyFill="1" applyBorder="1" applyAlignment="1" applyProtection="1">
      <alignment horizontal="center" vertical="center"/>
      <protection locked="0"/>
    </xf>
    <xf numFmtId="1" fontId="15" fillId="4" borderId="4" xfId="7" applyNumberFormat="1" applyFont="1" applyFill="1" applyBorder="1" applyAlignment="1" applyProtection="1">
      <alignment horizontal="center" vertical="center"/>
      <protection locked="0"/>
    </xf>
    <xf numFmtId="0" fontId="15" fillId="4" borderId="2" xfId="4" applyNumberFormat="1" applyFont="1" applyFill="1" applyBorder="1" applyAlignment="1" applyProtection="1">
      <alignment horizontal="center" vertical="center"/>
      <protection locked="0"/>
    </xf>
    <xf numFmtId="0" fontId="15" fillId="4" borderId="4" xfId="4" applyNumberFormat="1" applyFont="1" applyFill="1" applyBorder="1" applyAlignment="1" applyProtection="1">
      <alignment horizontal="center" vertical="center"/>
      <protection locked="0"/>
    </xf>
    <xf numFmtId="0" fontId="42" fillId="0" borderId="2" xfId="8"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14" fillId="4" borderId="5" xfId="0" applyFont="1" applyFill="1" applyBorder="1" applyAlignment="1">
      <alignment horizontal="center" vertical="center"/>
    </xf>
    <xf numFmtId="0" fontId="14" fillId="14" borderId="2" xfId="0" applyFont="1" applyFill="1" applyBorder="1" applyAlignment="1">
      <alignment horizontal="right" vertical="center"/>
    </xf>
    <xf numFmtId="0" fontId="14" fillId="14" borderId="3" xfId="0" applyFont="1" applyFill="1" applyBorder="1" applyAlignment="1">
      <alignment horizontal="right" vertical="center"/>
    </xf>
    <xf numFmtId="0" fontId="14" fillId="17" borderId="2" xfId="0" applyFont="1" applyFill="1" applyBorder="1" applyAlignment="1">
      <alignment horizontal="right" vertical="center"/>
    </xf>
    <xf numFmtId="0" fontId="14" fillId="17" borderId="3" xfId="0" applyFont="1" applyFill="1" applyBorder="1" applyAlignment="1">
      <alignment horizontal="right" vertical="center"/>
    </xf>
    <xf numFmtId="0" fontId="14" fillId="19" borderId="2" xfId="0" applyFont="1" applyFill="1" applyBorder="1" applyAlignment="1">
      <alignment horizontal="right" vertical="center"/>
    </xf>
    <xf numFmtId="0" fontId="14" fillId="19" borderId="3" xfId="0" applyFont="1" applyFill="1" applyBorder="1" applyAlignment="1">
      <alignment horizontal="right" vertical="center"/>
    </xf>
    <xf numFmtId="0" fontId="14" fillId="9" borderId="2" xfId="0" applyFont="1" applyFill="1" applyBorder="1" applyAlignment="1">
      <alignment horizontal="right" vertical="center"/>
    </xf>
    <xf numFmtId="0" fontId="14" fillId="9" borderId="3" xfId="0" applyFont="1" applyFill="1" applyBorder="1" applyAlignment="1">
      <alignment horizontal="right" vertical="center"/>
    </xf>
    <xf numFmtId="0" fontId="24" fillId="19" borderId="2" xfId="0" applyFont="1" applyFill="1" applyBorder="1" applyAlignment="1">
      <alignment horizontal="center" vertical="center"/>
    </xf>
    <xf numFmtId="0" fontId="24" fillId="19" borderId="3" xfId="0" applyFont="1" applyFill="1" applyBorder="1" applyAlignment="1">
      <alignment horizontal="center" vertical="center"/>
    </xf>
    <xf numFmtId="0" fontId="24" fillId="19" borderId="4" xfId="0" applyFont="1" applyFill="1" applyBorder="1" applyAlignment="1">
      <alignment horizontal="center" vertical="center"/>
    </xf>
    <xf numFmtId="0" fontId="24" fillId="17" borderId="6" xfId="0" applyFont="1" applyFill="1" applyBorder="1" applyAlignment="1">
      <alignment horizontal="center" vertical="center"/>
    </xf>
    <xf numFmtId="0" fontId="24" fillId="17" borderId="8" xfId="0" applyFont="1" applyFill="1" applyBorder="1" applyAlignment="1">
      <alignment horizontal="center" vertical="center"/>
    </xf>
    <xf numFmtId="0" fontId="24" fillId="14" borderId="1" xfId="0" applyFont="1" applyFill="1" applyBorder="1" applyAlignment="1">
      <alignment horizontal="center" vertical="center"/>
    </xf>
    <xf numFmtId="0" fontId="24" fillId="14" borderId="1" xfId="0" applyFont="1" applyFill="1" applyBorder="1" applyAlignment="1">
      <alignment vertical="center"/>
    </xf>
    <xf numFmtId="0" fontId="24" fillId="14" borderId="3" xfId="0" applyFont="1" applyFill="1" applyBorder="1" applyAlignment="1">
      <alignment horizontal="center" vertical="center"/>
    </xf>
    <xf numFmtId="0" fontId="24" fillId="17" borderId="3" xfId="0" applyFont="1" applyFill="1" applyBorder="1" applyAlignment="1">
      <alignment horizontal="center" vertical="center"/>
    </xf>
    <xf numFmtId="0" fontId="24" fillId="19" borderId="1" xfId="0" applyFont="1" applyFill="1" applyBorder="1" applyAlignment="1">
      <alignment horizontal="center" vertical="center"/>
    </xf>
    <xf numFmtId="0" fontId="24" fillId="19" borderId="1" xfId="0" applyFont="1" applyFill="1" applyBorder="1" applyAlignment="1">
      <alignment vertical="center"/>
    </xf>
    <xf numFmtId="0" fontId="14" fillId="13" borderId="2" xfId="0" applyFont="1" applyFill="1" applyBorder="1" applyAlignment="1">
      <alignment horizontal="right" vertical="center"/>
    </xf>
    <xf numFmtId="0" fontId="14" fillId="13" borderId="3" xfId="0" applyFont="1" applyFill="1" applyBorder="1" applyAlignment="1">
      <alignment horizontal="right" vertical="center"/>
    </xf>
    <xf numFmtId="0" fontId="14" fillId="16" borderId="2" xfId="0" applyFont="1" applyFill="1" applyBorder="1" applyAlignment="1">
      <alignment horizontal="right" vertical="center"/>
    </xf>
    <xf numFmtId="0" fontId="14" fillId="16" borderId="3" xfId="0" applyFont="1" applyFill="1" applyBorder="1" applyAlignment="1">
      <alignment horizontal="right" vertical="center"/>
    </xf>
    <xf numFmtId="0" fontId="14" fillId="18" borderId="2" xfId="0" applyFont="1" applyFill="1" applyBorder="1" applyAlignment="1">
      <alignment horizontal="right" vertical="center"/>
    </xf>
    <xf numFmtId="0" fontId="14" fillId="18" borderId="3" xfId="0" applyFont="1" applyFill="1" applyBorder="1" applyAlignment="1">
      <alignment horizontal="right" vertical="center"/>
    </xf>
    <xf numFmtId="0" fontId="24" fillId="18" borderId="2" xfId="0" applyFont="1" applyFill="1" applyBorder="1" applyAlignment="1">
      <alignment horizontal="center" vertical="center"/>
    </xf>
    <xf numFmtId="0" fontId="24" fillId="18" borderId="3" xfId="0" applyFont="1" applyFill="1" applyBorder="1" applyAlignment="1">
      <alignment horizontal="center" vertical="center"/>
    </xf>
    <xf numFmtId="0" fontId="24" fillId="18" borderId="4" xfId="0" applyFont="1" applyFill="1" applyBorder="1" applyAlignment="1">
      <alignment horizontal="center" vertical="center"/>
    </xf>
    <xf numFmtId="0" fontId="24" fillId="13" borderId="1" xfId="0" applyFont="1" applyFill="1" applyBorder="1" applyAlignment="1">
      <alignment horizontal="center" vertical="center"/>
    </xf>
    <xf numFmtId="0" fontId="24" fillId="13" borderId="1" xfId="0" applyFont="1" applyFill="1" applyBorder="1" applyAlignment="1">
      <alignment vertical="center"/>
    </xf>
    <xf numFmtId="0" fontId="24" fillId="13" borderId="3" xfId="0" applyFont="1" applyFill="1" applyBorder="1" applyAlignment="1">
      <alignment horizontal="center" vertical="center"/>
    </xf>
    <xf numFmtId="0" fontId="14" fillId="15" borderId="2" xfId="0" applyFont="1" applyFill="1" applyBorder="1" applyAlignment="1">
      <alignment horizontal="right" vertical="center"/>
    </xf>
    <xf numFmtId="0" fontId="14" fillId="15" borderId="3" xfId="0" applyFont="1" applyFill="1" applyBorder="1" applyAlignment="1">
      <alignment horizontal="right" vertical="center"/>
    </xf>
    <xf numFmtId="0" fontId="24" fillId="16" borderId="3" xfId="0" applyFont="1" applyFill="1" applyBorder="1" applyAlignment="1">
      <alignment horizontal="center" vertical="center"/>
    </xf>
    <xf numFmtId="0" fontId="24" fillId="16" borderId="4" xfId="0" applyFont="1" applyFill="1" applyBorder="1" applyAlignment="1">
      <alignment horizontal="center" vertical="center"/>
    </xf>
    <xf numFmtId="0" fontId="24" fillId="18" borderId="1" xfId="0" applyFont="1" applyFill="1" applyBorder="1" applyAlignment="1">
      <alignment horizontal="center" vertical="center"/>
    </xf>
    <xf numFmtId="0" fontId="24" fillId="18" borderId="1" xfId="0" applyFont="1" applyFill="1" applyBorder="1" applyAlignment="1">
      <alignment vertical="center"/>
    </xf>
    <xf numFmtId="0" fontId="24" fillId="16" borderId="1" xfId="0" applyFont="1" applyFill="1" applyBorder="1" applyAlignment="1">
      <alignment horizontal="center" vertical="center"/>
    </xf>
    <xf numFmtId="0" fontId="14" fillId="12" borderId="2" xfId="0" applyFont="1" applyFill="1" applyBorder="1" applyAlignment="1">
      <alignment horizontal="right" vertical="center"/>
    </xf>
    <xf numFmtId="0" fontId="14" fillId="12" borderId="3" xfId="0" applyFont="1" applyFill="1" applyBorder="1" applyAlignment="1">
      <alignment horizontal="right" vertical="center"/>
    </xf>
    <xf numFmtId="0" fontId="24" fillId="14" borderId="1" xfId="0" applyFont="1" applyFill="1" applyBorder="1" applyAlignment="1">
      <alignment horizontal="center" vertical="center" wrapText="1"/>
    </xf>
    <xf numFmtId="0" fontId="24" fillId="14" borderId="1" xfId="0" applyFont="1" applyFill="1" applyBorder="1" applyAlignment="1">
      <alignment vertical="center" wrapText="1"/>
    </xf>
    <xf numFmtId="0" fontId="24" fillId="14" borderId="2" xfId="0" applyFont="1" applyFill="1" applyBorder="1" applyAlignment="1">
      <alignment horizontal="center" vertical="center"/>
    </xf>
    <xf numFmtId="0" fontId="24" fillId="14" borderId="4" xfId="0" applyFont="1" applyFill="1" applyBorder="1" applyAlignment="1">
      <alignment horizontal="center" vertical="center"/>
    </xf>
    <xf numFmtId="0" fontId="24" fillId="17" borderId="1" xfId="0" applyFont="1" applyFill="1" applyBorder="1" applyAlignment="1">
      <alignment horizontal="center" vertical="center" wrapText="1"/>
    </xf>
    <xf numFmtId="0" fontId="24" fillId="17" borderId="1" xfId="0" applyFont="1" applyFill="1" applyBorder="1" applyAlignment="1">
      <alignment vertical="center" wrapText="1"/>
    </xf>
    <xf numFmtId="0" fontId="24" fillId="19" borderId="1" xfId="0" applyFont="1" applyFill="1" applyBorder="1" applyAlignment="1">
      <alignment horizontal="center" vertical="center" wrapText="1"/>
    </xf>
    <xf numFmtId="0" fontId="24" fillId="19" borderId="1" xfId="0" applyFont="1" applyFill="1" applyBorder="1" applyAlignment="1">
      <alignment vertical="center" wrapText="1"/>
    </xf>
    <xf numFmtId="0" fontId="24" fillId="12" borderId="1" xfId="0" applyFont="1" applyFill="1" applyBorder="1" applyAlignment="1">
      <alignment horizontal="center" vertical="center" wrapText="1"/>
    </xf>
    <xf numFmtId="0" fontId="24" fillId="12" borderId="1" xfId="0" applyFont="1" applyFill="1" applyBorder="1" applyAlignment="1">
      <alignment vertical="center" wrapText="1"/>
    </xf>
    <xf numFmtId="0" fontId="24" fillId="15" borderId="1" xfId="0" applyFont="1" applyFill="1" applyBorder="1" applyAlignment="1">
      <alignment horizontal="center" vertical="center" wrapText="1"/>
    </xf>
    <xf numFmtId="0" fontId="24" fillId="15" borderId="1" xfId="0" applyFont="1" applyFill="1" applyBorder="1" applyAlignment="1">
      <alignment vertical="center" wrapText="1"/>
    </xf>
    <xf numFmtId="0" fontId="24" fillId="9" borderId="1" xfId="0" applyFont="1" applyFill="1" applyBorder="1" applyAlignment="1">
      <alignment horizontal="center" vertical="center" wrapText="1"/>
    </xf>
    <xf numFmtId="0" fontId="24" fillId="9" borderId="1" xfId="0" applyFont="1" applyFill="1" applyBorder="1" applyAlignment="1">
      <alignment vertical="center" wrapText="1"/>
    </xf>
    <xf numFmtId="0" fontId="16" fillId="21" borderId="2" xfId="0" applyFont="1" applyFill="1" applyBorder="1" applyAlignment="1">
      <alignment horizontal="center" vertical="center"/>
    </xf>
    <xf numFmtId="0" fontId="16" fillId="21" borderId="3" xfId="0" applyFont="1" applyFill="1" applyBorder="1" applyAlignment="1">
      <alignment horizontal="center" vertical="center"/>
    </xf>
    <xf numFmtId="0" fontId="16" fillId="22" borderId="2" xfId="0" applyFont="1" applyFill="1" applyBorder="1" applyAlignment="1">
      <alignment horizontal="center" vertical="center"/>
    </xf>
    <xf numFmtId="0" fontId="16" fillId="22" borderId="3" xfId="0" applyFont="1" applyFill="1" applyBorder="1" applyAlignment="1">
      <alignment horizontal="center" vertical="center"/>
    </xf>
    <xf numFmtId="0" fontId="16" fillId="20" borderId="2" xfId="0" applyFont="1" applyFill="1" applyBorder="1" applyAlignment="1">
      <alignment horizontal="center" vertical="center"/>
    </xf>
    <xf numFmtId="0" fontId="16" fillId="20" borderId="3"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13" borderId="1" xfId="0" applyFont="1" applyFill="1" applyBorder="1" applyAlignment="1">
      <alignment vertical="center" wrapText="1"/>
    </xf>
    <xf numFmtId="0" fontId="24" fillId="16" borderId="1" xfId="0" applyFont="1" applyFill="1" applyBorder="1" applyAlignment="1">
      <alignment horizontal="center" vertical="center" wrapText="1"/>
    </xf>
    <xf numFmtId="0" fontId="24" fillId="16" borderId="1" xfId="0" applyFont="1" applyFill="1" applyBorder="1" applyAlignment="1">
      <alignment vertical="center" wrapText="1"/>
    </xf>
    <xf numFmtId="0" fontId="24" fillId="18" borderId="1" xfId="0" applyFont="1" applyFill="1" applyBorder="1" applyAlignment="1">
      <alignment horizontal="center" vertical="center" wrapText="1"/>
    </xf>
    <xf numFmtId="0" fontId="24" fillId="18" borderId="1" xfId="0" applyFont="1" applyFill="1" applyBorder="1" applyAlignment="1">
      <alignment vertical="center" wrapText="1"/>
    </xf>
    <xf numFmtId="0" fontId="12" fillId="10" borderId="0" xfId="0" applyFont="1" applyFill="1" applyAlignment="1">
      <alignment horizontal="left" vertical="center"/>
    </xf>
    <xf numFmtId="0" fontId="13" fillId="11" borderId="3" xfId="0" applyFont="1" applyFill="1" applyBorder="1" applyAlignment="1">
      <alignment horizontal="left" vertical="center"/>
    </xf>
    <xf numFmtId="0" fontId="13" fillId="20" borderId="1" xfId="0" applyFont="1" applyFill="1" applyBorder="1" applyAlignment="1">
      <alignment horizontal="left" vertical="center"/>
    </xf>
    <xf numFmtId="0" fontId="13" fillId="22" borderId="1" xfId="0" applyFont="1" applyFill="1" applyBorder="1" applyAlignment="1">
      <alignment horizontal="left" vertical="center"/>
    </xf>
    <xf numFmtId="0" fontId="13" fillId="21" borderId="1" xfId="0" applyFont="1" applyFill="1" applyBorder="1" applyAlignment="1">
      <alignment horizontal="left" vertical="center"/>
    </xf>
    <xf numFmtId="0" fontId="13" fillId="11" borderId="0" xfId="0" applyFont="1" applyFill="1" applyAlignment="1">
      <alignment horizontal="left" vertical="center"/>
    </xf>
    <xf numFmtId="170" fontId="28" fillId="4" borderId="3" xfId="0" applyNumberFormat="1" applyFont="1" applyFill="1" applyBorder="1" applyAlignment="1" applyProtection="1">
      <alignment horizontal="center" vertical="center"/>
      <protection locked="0"/>
    </xf>
    <xf numFmtId="0" fontId="14" fillId="12" borderId="2" xfId="0" applyFont="1" applyFill="1" applyBorder="1" applyAlignment="1">
      <alignment horizontal="right"/>
    </xf>
    <xf numFmtId="0" fontId="14" fillId="12" borderId="3" xfId="0" applyFont="1" applyFill="1" applyBorder="1" applyAlignment="1">
      <alignment horizontal="right"/>
    </xf>
    <xf numFmtId="0" fontId="14" fillId="15" borderId="2" xfId="0" applyFont="1" applyFill="1" applyBorder="1" applyAlignment="1">
      <alignment horizontal="right"/>
    </xf>
    <xf numFmtId="0" fontId="14" fillId="15" borderId="3" xfId="0" applyFont="1" applyFill="1" applyBorder="1" applyAlignment="1">
      <alignment horizontal="right"/>
    </xf>
    <xf numFmtId="0" fontId="14" fillId="9" borderId="2" xfId="0" applyFont="1" applyFill="1" applyBorder="1" applyAlignment="1">
      <alignment horizontal="right"/>
    </xf>
    <xf numFmtId="0" fontId="14" fillId="9" borderId="3" xfId="0" applyFont="1" applyFill="1" applyBorder="1" applyAlignment="1">
      <alignment horizontal="right"/>
    </xf>
    <xf numFmtId="0" fontId="24" fillId="13" borderId="1" xfId="0" applyFont="1" applyFill="1" applyBorder="1" applyAlignment="1">
      <alignment wrapText="1"/>
    </xf>
    <xf numFmtId="0" fontId="24" fillId="16" borderId="1" xfId="0" applyFont="1" applyFill="1" applyBorder="1" applyAlignment="1">
      <alignment wrapText="1"/>
    </xf>
    <xf numFmtId="0" fontId="24" fillId="18" borderId="1" xfId="0" applyFont="1" applyFill="1" applyBorder="1" applyAlignment="1">
      <alignment wrapText="1"/>
    </xf>
    <xf numFmtId="0" fontId="14" fillId="13" borderId="2" xfId="0" applyFont="1" applyFill="1" applyBorder="1" applyAlignment="1">
      <alignment horizontal="right"/>
    </xf>
    <xf numFmtId="0" fontId="14" fillId="13" borderId="3" xfId="0" applyFont="1" applyFill="1" applyBorder="1" applyAlignment="1">
      <alignment horizontal="right"/>
    </xf>
    <xf numFmtId="0" fontId="14" fillId="16" borderId="2" xfId="0" applyFont="1" applyFill="1" applyBorder="1" applyAlignment="1">
      <alignment horizontal="right"/>
    </xf>
    <xf numFmtId="0" fontId="14" fillId="16" borderId="3" xfId="0" applyFont="1" applyFill="1" applyBorder="1" applyAlignment="1">
      <alignment horizontal="right"/>
    </xf>
    <xf numFmtId="0" fontId="14" fillId="18" borderId="2" xfId="0" applyFont="1" applyFill="1" applyBorder="1" applyAlignment="1">
      <alignment horizontal="right"/>
    </xf>
    <xf numFmtId="0" fontId="14" fillId="18" borderId="3" xfId="0" applyFont="1" applyFill="1" applyBorder="1" applyAlignment="1">
      <alignment horizontal="right"/>
    </xf>
    <xf numFmtId="0" fontId="24" fillId="14" borderId="1" xfId="0" applyFont="1" applyFill="1" applyBorder="1"/>
    <xf numFmtId="0" fontId="24" fillId="19" borderId="1" xfId="0" applyFont="1" applyFill="1" applyBorder="1"/>
    <xf numFmtId="0" fontId="24" fillId="13" borderId="1" xfId="0" applyFont="1" applyFill="1" applyBorder="1"/>
    <xf numFmtId="0" fontId="28" fillId="4" borderId="2" xfId="0" applyFont="1" applyFill="1" applyBorder="1" applyAlignment="1">
      <alignment horizontal="center" vertical="center"/>
    </xf>
    <xf numFmtId="0" fontId="28" fillId="4" borderId="3" xfId="0" applyFont="1" applyFill="1" applyBorder="1" applyAlignment="1">
      <alignment horizontal="center" vertical="center"/>
    </xf>
    <xf numFmtId="0" fontId="28" fillId="4" borderId="4" xfId="0" applyFont="1" applyFill="1" applyBorder="1" applyAlignment="1">
      <alignment horizontal="center" vertical="center"/>
    </xf>
    <xf numFmtId="166" fontId="28" fillId="4" borderId="2" xfId="5" applyFont="1" applyFill="1" applyBorder="1" applyAlignment="1">
      <alignment vertical="center"/>
    </xf>
    <xf numFmtId="166" fontId="28" fillId="4" borderId="4" xfId="5" applyFont="1" applyFill="1" applyBorder="1" applyAlignment="1">
      <alignment vertical="center"/>
    </xf>
    <xf numFmtId="0" fontId="17" fillId="4" borderId="0" xfId="0" applyFont="1" applyFill="1" applyAlignment="1">
      <alignment horizontal="center"/>
    </xf>
    <xf numFmtId="0" fontId="15" fillId="4" borderId="2" xfId="0" applyFont="1" applyFill="1" applyBorder="1" applyAlignment="1">
      <alignment horizontal="center" vertical="center"/>
    </xf>
    <xf numFmtId="0" fontId="15" fillId="4" borderId="4" xfId="0" applyFont="1" applyFill="1" applyBorder="1" applyAlignment="1">
      <alignment horizontal="center" vertical="center"/>
    </xf>
    <xf numFmtId="0" fontId="13" fillId="4" borderId="0" xfId="0" applyFont="1" applyFill="1" applyAlignment="1">
      <alignment horizontal="center" vertical="center"/>
    </xf>
    <xf numFmtId="0" fontId="24" fillId="12" borderId="1" xfId="0" applyFont="1" applyFill="1" applyBorder="1"/>
    <xf numFmtId="0" fontId="24" fillId="9" borderId="4" xfId="0" applyFont="1" applyFill="1" applyBorder="1"/>
    <xf numFmtId="0" fontId="24" fillId="18" borderId="1" xfId="0" applyFont="1" applyFill="1" applyBorder="1"/>
    <xf numFmtId="0" fontId="24" fillId="12" borderId="1" xfId="0" applyFont="1" applyFill="1" applyBorder="1" applyAlignment="1">
      <alignment wrapText="1"/>
    </xf>
    <xf numFmtId="0" fontId="24" fillId="15" borderId="1" xfId="0" applyFont="1" applyFill="1" applyBorder="1" applyAlignment="1">
      <alignment wrapText="1"/>
    </xf>
    <xf numFmtId="0" fontId="24" fillId="9" borderId="1" xfId="0" applyFont="1" applyFill="1" applyBorder="1" applyAlignment="1">
      <alignment wrapText="1"/>
    </xf>
    <xf numFmtId="0" fontId="14" fillId="14" borderId="2" xfId="0" applyFont="1" applyFill="1" applyBorder="1" applyAlignment="1">
      <alignment horizontal="right"/>
    </xf>
    <xf numFmtId="0" fontId="14" fillId="14" borderId="3" xfId="0" applyFont="1" applyFill="1" applyBorder="1" applyAlignment="1">
      <alignment horizontal="right"/>
    </xf>
    <xf numFmtId="0" fontId="14" fillId="17" borderId="2" xfId="0" applyFont="1" applyFill="1" applyBorder="1" applyAlignment="1">
      <alignment horizontal="right"/>
    </xf>
    <xf numFmtId="0" fontId="14" fillId="17" borderId="3" xfId="0" applyFont="1" applyFill="1" applyBorder="1" applyAlignment="1">
      <alignment horizontal="right"/>
    </xf>
    <xf numFmtId="0" fontId="14" fillId="19" borderId="2" xfId="0" applyFont="1" applyFill="1" applyBorder="1" applyAlignment="1">
      <alignment horizontal="right"/>
    </xf>
    <xf numFmtId="0" fontId="14" fillId="19" borderId="3" xfId="0" applyFont="1" applyFill="1" applyBorder="1" applyAlignment="1">
      <alignment horizontal="right"/>
    </xf>
    <xf numFmtId="0" fontId="24" fillId="14" borderId="1" xfId="0" applyFont="1" applyFill="1" applyBorder="1" applyAlignment="1">
      <alignment wrapText="1"/>
    </xf>
    <xf numFmtId="0" fontId="24" fillId="17" borderId="1" xfId="0" applyFont="1" applyFill="1" applyBorder="1" applyAlignment="1">
      <alignment wrapText="1"/>
    </xf>
    <xf numFmtId="0" fontId="24" fillId="19" borderId="1" xfId="0" applyFont="1" applyFill="1" applyBorder="1" applyAlignment="1">
      <alignment wrapText="1"/>
    </xf>
    <xf numFmtId="166" fontId="28" fillId="4" borderId="2" xfId="5" applyFont="1" applyFill="1" applyBorder="1" applyAlignment="1">
      <alignment horizontal="center"/>
    </xf>
    <xf numFmtId="166" fontId="28" fillId="4" borderId="4" xfId="5" applyFont="1" applyFill="1" applyBorder="1" applyAlignment="1">
      <alignment horizontal="center"/>
    </xf>
    <xf numFmtId="170" fontId="28" fillId="4" borderId="2" xfId="0" applyNumberFormat="1" applyFont="1" applyFill="1" applyBorder="1" applyAlignment="1">
      <alignment horizontal="center"/>
    </xf>
    <xf numFmtId="170" fontId="28" fillId="4" borderId="4" xfId="0" applyNumberFormat="1" applyFont="1" applyFill="1" applyBorder="1" applyAlignment="1">
      <alignment horizontal="center"/>
    </xf>
    <xf numFmtId="0" fontId="14" fillId="0" borderId="0" xfId="0" applyFont="1" applyAlignment="1">
      <alignment horizontal="center" vertical="center"/>
    </xf>
    <xf numFmtId="0" fontId="44" fillId="0" borderId="0" xfId="0" applyFont="1" applyAlignment="1">
      <alignment horizontal="left" vertical="center" wrapText="1"/>
    </xf>
    <xf numFmtId="0" fontId="44" fillId="0" borderId="5" xfId="0" applyFont="1" applyBorder="1" applyAlignment="1">
      <alignment horizontal="left" vertical="center" wrapText="1"/>
    </xf>
    <xf numFmtId="0" fontId="30" fillId="25" borderId="5" xfId="0" applyFont="1" applyFill="1" applyBorder="1" applyAlignment="1">
      <alignment horizontal="center" vertical="center"/>
    </xf>
    <xf numFmtId="0" fontId="31" fillId="26" borderId="10" xfId="2" applyFont="1" applyFill="1" applyBorder="1" applyAlignment="1">
      <alignment horizontal="center" vertical="center" wrapText="1"/>
    </xf>
    <xf numFmtId="0" fontId="31" fillId="26" borderId="11" xfId="2" applyFont="1" applyFill="1" applyBorder="1" applyAlignment="1">
      <alignment horizontal="center" vertical="center" wrapText="1"/>
    </xf>
    <xf numFmtId="0" fontId="31" fillId="26" borderId="14" xfId="2" applyFont="1" applyFill="1" applyBorder="1" applyAlignment="1">
      <alignment horizontal="center" vertical="center" wrapText="1"/>
    </xf>
    <xf numFmtId="0" fontId="31" fillId="26" borderId="15" xfId="2" applyFont="1" applyFill="1" applyBorder="1" applyAlignment="1">
      <alignment horizontal="center" vertical="center" wrapText="1"/>
    </xf>
    <xf numFmtId="0" fontId="31" fillId="26" borderId="12" xfId="2" applyFont="1" applyFill="1" applyBorder="1" applyAlignment="1">
      <alignment horizontal="center" vertical="center" wrapText="1"/>
    </xf>
    <xf numFmtId="0" fontId="31" fillId="26" borderId="13" xfId="2" applyFont="1" applyFill="1" applyBorder="1" applyAlignment="1">
      <alignment horizontal="center" vertical="center" wrapText="1"/>
    </xf>
    <xf numFmtId="0" fontId="33" fillId="26" borderId="10" xfId="2" applyFont="1" applyFill="1" applyBorder="1" applyAlignment="1">
      <alignment horizontal="center" vertical="center" wrapText="1"/>
    </xf>
    <xf numFmtId="0" fontId="33" fillId="26" borderId="9" xfId="2" applyFont="1" applyFill="1" applyBorder="1" applyAlignment="1">
      <alignment horizontal="center" vertical="center" wrapText="1"/>
    </xf>
    <xf numFmtId="0" fontId="33" fillId="26" borderId="11" xfId="2" applyFont="1" applyFill="1" applyBorder="1" applyAlignment="1">
      <alignment horizontal="center" vertical="center" wrapText="1"/>
    </xf>
    <xf numFmtId="0" fontId="33" fillId="26" borderId="14" xfId="2" applyFont="1" applyFill="1" applyBorder="1" applyAlignment="1">
      <alignment horizontal="center" vertical="center" wrapText="1"/>
    </xf>
    <xf numFmtId="0" fontId="33" fillId="26" borderId="0" xfId="2" applyFont="1" applyFill="1" applyBorder="1" applyAlignment="1">
      <alignment horizontal="center" vertical="center" wrapText="1"/>
    </xf>
    <xf numFmtId="0" fontId="33" fillId="26" borderId="15" xfId="2" applyFont="1" applyFill="1" applyBorder="1" applyAlignment="1">
      <alignment horizontal="center" vertical="center" wrapText="1"/>
    </xf>
    <xf numFmtId="0" fontId="33" fillId="26" borderId="12" xfId="2" applyFont="1" applyFill="1" applyBorder="1" applyAlignment="1">
      <alignment horizontal="center" vertical="center" wrapText="1"/>
    </xf>
    <xf numFmtId="0" fontId="33" fillId="26" borderId="5" xfId="2" applyFont="1" applyFill="1" applyBorder="1" applyAlignment="1">
      <alignment horizontal="center" vertical="center" wrapText="1"/>
    </xf>
    <xf numFmtId="0" fontId="33" fillId="26" borderId="13" xfId="2" applyFont="1" applyFill="1" applyBorder="1" applyAlignment="1">
      <alignment horizontal="center" vertical="center" wrapText="1"/>
    </xf>
    <xf numFmtId="0" fontId="15" fillId="0" borderId="0" xfId="0" applyFont="1" applyAlignment="1">
      <alignment horizontal="center" vertical="center"/>
    </xf>
    <xf numFmtId="0" fontId="30" fillId="0" borderId="0" xfId="0" applyFont="1" applyAlignment="1">
      <alignment horizontal="center" vertical="center" wrapText="1"/>
    </xf>
    <xf numFmtId="168" fontId="22" fillId="0" borderId="2" xfId="0" applyNumberFormat="1" applyFont="1" applyBorder="1" applyAlignment="1">
      <alignment horizontal="center" vertical="center"/>
    </xf>
    <xf numFmtId="168" fontId="22" fillId="0" borderId="4" xfId="0" applyNumberFormat="1" applyFont="1" applyBorder="1" applyAlignment="1">
      <alignment horizontal="center" vertical="center"/>
    </xf>
    <xf numFmtId="0" fontId="35" fillId="0" borderId="0" xfId="0" applyFont="1" applyAlignment="1">
      <alignment horizontal="right" vertical="center"/>
    </xf>
    <xf numFmtId="172" fontId="38" fillId="0" borderId="2" xfId="7" applyNumberFormat="1" applyFont="1" applyFill="1" applyBorder="1" applyAlignment="1">
      <alignment horizontal="center" vertical="center" wrapText="1"/>
    </xf>
    <xf numFmtId="172" fontId="38" fillId="0" borderId="3" xfId="7" applyNumberFormat="1" applyFont="1" applyFill="1" applyBorder="1" applyAlignment="1">
      <alignment horizontal="center" vertical="center" wrapText="1"/>
    </xf>
    <xf numFmtId="172" fontId="38" fillId="0" borderId="4" xfId="7" applyNumberFormat="1" applyFont="1" applyFill="1" applyBorder="1" applyAlignment="1">
      <alignment horizontal="center" vertical="center" wrapText="1"/>
    </xf>
    <xf numFmtId="0" fontId="36" fillId="0" borderId="1" xfId="0" applyFont="1" applyBorder="1" applyAlignment="1">
      <alignment horizontal="center" vertical="center" wrapText="1"/>
    </xf>
    <xf numFmtId="172" fontId="38" fillId="0" borderId="1" xfId="7" applyNumberFormat="1" applyFont="1" applyFill="1" applyBorder="1" applyAlignment="1">
      <alignment horizontal="center" vertical="center" wrapText="1"/>
    </xf>
    <xf numFmtId="0" fontId="36" fillId="25" borderId="10" xfId="0" applyFont="1" applyFill="1" applyBorder="1" applyAlignment="1">
      <alignment horizontal="center" vertical="center" wrapText="1"/>
    </xf>
    <xf numFmtId="0" fontId="36" fillId="25" borderId="9" xfId="0" applyFont="1" applyFill="1" applyBorder="1" applyAlignment="1">
      <alignment horizontal="center" vertical="center" wrapText="1"/>
    </xf>
    <xf numFmtId="0" fontId="36" fillId="25" borderId="11" xfId="0" applyFont="1" applyFill="1" applyBorder="1" applyAlignment="1">
      <alignment horizontal="center" vertical="center" wrapText="1"/>
    </xf>
    <xf numFmtId="0" fontId="36" fillId="25" borderId="12" xfId="0" applyFont="1" applyFill="1" applyBorder="1" applyAlignment="1">
      <alignment horizontal="center" vertical="center" wrapText="1"/>
    </xf>
    <xf numFmtId="0" fontId="36" fillId="25" borderId="5" xfId="0" applyFont="1" applyFill="1" applyBorder="1" applyAlignment="1">
      <alignment horizontal="center" vertical="center" wrapText="1"/>
    </xf>
    <xf numFmtId="0" fontId="36" fillId="25" borderId="13" xfId="0" applyFont="1" applyFill="1" applyBorder="1" applyAlignment="1">
      <alignment horizontal="center" vertical="center" wrapText="1"/>
    </xf>
    <xf numFmtId="0" fontId="36" fillId="0" borderId="2" xfId="0" applyFont="1" applyBorder="1" applyAlignment="1">
      <alignment horizontal="center" vertical="center" wrapText="1"/>
    </xf>
    <xf numFmtId="0" fontId="36" fillId="0" borderId="3" xfId="0" applyFont="1" applyBorder="1" applyAlignment="1">
      <alignment horizontal="center" vertical="center" wrapText="1"/>
    </xf>
    <xf numFmtId="0" fontId="36" fillId="0" borderId="4" xfId="0" applyFont="1" applyBorder="1" applyAlignment="1">
      <alignment horizontal="center" vertical="center" wrapText="1"/>
    </xf>
    <xf numFmtId="168" fontId="37" fillId="0" borderId="2" xfId="1" applyNumberFormat="1" applyFont="1" applyFill="1" applyBorder="1" applyAlignment="1">
      <alignment horizontal="center" vertical="center"/>
    </xf>
    <xf numFmtId="168" fontId="37" fillId="0" borderId="3" xfId="1" applyNumberFormat="1" applyFont="1" applyFill="1" applyBorder="1" applyAlignment="1">
      <alignment horizontal="center" vertical="center"/>
    </xf>
    <xf numFmtId="168" fontId="37" fillId="0" borderId="4" xfId="1" applyNumberFormat="1" applyFont="1" applyFill="1" applyBorder="1" applyAlignment="1">
      <alignment horizontal="center" vertical="center"/>
    </xf>
    <xf numFmtId="0" fontId="14" fillId="0" borderId="0" xfId="0" applyFont="1" applyAlignment="1">
      <alignment horizontal="justify" vertical="center" wrapText="1"/>
    </xf>
    <xf numFmtId="0" fontId="30" fillId="25" borderId="0" xfId="0" applyFont="1" applyFill="1" applyAlignment="1">
      <alignment horizontal="center" vertical="center"/>
    </xf>
    <xf numFmtId="0" fontId="40" fillId="25" borderId="0" xfId="0" applyFont="1" applyFill="1" applyAlignment="1">
      <alignment horizontal="right" vertical="center" wrapText="1"/>
    </xf>
    <xf numFmtId="0" fontId="44" fillId="0" borderId="9" xfId="0" applyFont="1" applyBorder="1" applyAlignment="1">
      <alignment horizontal="justify" vertical="center" wrapText="1"/>
    </xf>
    <xf numFmtId="0" fontId="44" fillId="0" borderId="0" xfId="0" applyFont="1" applyAlignment="1">
      <alignment horizontal="justify" vertical="center" wrapText="1"/>
    </xf>
    <xf numFmtId="0" fontId="43" fillId="0" borderId="0" xfId="0" applyFont="1" applyAlignment="1">
      <alignment horizontal="justify" vertical="center" wrapText="1"/>
    </xf>
    <xf numFmtId="0" fontId="44" fillId="0" borderId="0" xfId="0" applyFont="1" applyAlignment="1">
      <alignment horizontal="center" vertical="center"/>
    </xf>
    <xf numFmtId="0" fontId="31" fillId="26" borderId="9" xfId="2" applyFont="1" applyFill="1" applyBorder="1" applyAlignment="1">
      <alignment horizontal="center" vertical="center" wrapText="1"/>
    </xf>
    <xf numFmtId="0" fontId="31" fillId="26" borderId="0" xfId="2" applyFont="1" applyFill="1" applyBorder="1" applyAlignment="1">
      <alignment horizontal="center" vertical="center" wrapText="1"/>
    </xf>
    <xf numFmtId="0" fontId="31" fillId="26" borderId="5" xfId="2" applyFont="1" applyFill="1" applyBorder="1" applyAlignment="1">
      <alignment horizontal="center" vertical="center" wrapText="1"/>
    </xf>
    <xf numFmtId="0" fontId="34" fillId="0" borderId="9" xfId="0" applyFont="1" applyBorder="1" applyAlignment="1">
      <alignment horizontal="center" vertical="center"/>
    </xf>
    <xf numFmtId="0" fontId="35" fillId="0" borderId="9" xfId="0" applyFont="1" applyBorder="1" applyAlignment="1">
      <alignment horizontal="right" vertical="center"/>
    </xf>
    <xf numFmtId="171" fontId="35" fillId="0" borderId="9" xfId="0" applyNumberFormat="1" applyFont="1" applyBorder="1" applyAlignment="1">
      <alignment horizontal="left" vertical="center"/>
    </xf>
    <xf numFmtId="2" fontId="38" fillId="0" borderId="1" xfId="0" applyNumberFormat="1" applyFont="1" applyBorder="1" applyAlignment="1">
      <alignment horizontal="center" vertical="center" wrapText="1"/>
    </xf>
    <xf numFmtId="2" fontId="38" fillId="0" borderId="2" xfId="0" applyNumberFormat="1" applyFont="1" applyBorder="1" applyAlignment="1">
      <alignment horizontal="center" vertical="center" wrapText="1"/>
    </xf>
    <xf numFmtId="2" fontId="38" fillId="0" borderId="3" xfId="0" applyNumberFormat="1" applyFont="1" applyBorder="1" applyAlignment="1">
      <alignment horizontal="center" vertical="center" wrapText="1"/>
    </xf>
    <xf numFmtId="2" fontId="38" fillId="0" borderId="4" xfId="0" applyNumberFormat="1" applyFont="1" applyBorder="1" applyAlignment="1">
      <alignment horizontal="center" vertical="center" wrapText="1"/>
    </xf>
    <xf numFmtId="171" fontId="35" fillId="0" borderId="0" xfId="0" applyNumberFormat="1" applyFont="1" applyAlignment="1">
      <alignment horizontal="left" vertical="center"/>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4" xfId="0" applyFont="1" applyBorder="1" applyAlignment="1">
      <alignment horizontal="center" vertical="center"/>
    </xf>
    <xf numFmtId="165" fontId="15" fillId="0" borderId="9" xfId="0" applyNumberFormat="1" applyFont="1" applyBorder="1" applyAlignment="1">
      <alignment horizontal="center" vertical="center"/>
    </xf>
    <xf numFmtId="0" fontId="15" fillId="0" borderId="9" xfId="0" applyFont="1" applyBorder="1" applyAlignment="1">
      <alignment horizontal="center" vertical="center"/>
    </xf>
    <xf numFmtId="10" fontId="15" fillId="0" borderId="0" xfId="6" applyNumberFormat="1" applyFont="1" applyFill="1" applyAlignment="1">
      <alignment horizontal="center" vertical="center"/>
    </xf>
    <xf numFmtId="0" fontId="32" fillId="0" borderId="0" xfId="0" applyFont="1" applyAlignment="1">
      <alignment horizontal="center" vertical="center" wrapText="1"/>
    </xf>
    <xf numFmtId="0" fontId="32" fillId="0" borderId="5" xfId="0" applyFont="1" applyBorder="1" applyAlignment="1">
      <alignment horizontal="center" vertical="center" wrapText="1"/>
    </xf>
    <xf numFmtId="0" fontId="15" fillId="0" borderId="0" xfId="0" applyFont="1" applyAlignment="1">
      <alignment horizontal="justify" vertical="center" wrapText="1"/>
    </xf>
    <xf numFmtId="0" fontId="40" fillId="0" borderId="0" xfId="0" applyFont="1" applyAlignment="1">
      <alignment horizontal="center" vertical="center" wrapText="1"/>
    </xf>
    <xf numFmtId="0" fontId="15" fillId="0" borderId="0" xfId="0" applyFont="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center"/>
    </xf>
  </cellXfs>
  <cellStyles count="10">
    <cellStyle name="20% - Accent1" xfId="2" builtinId="30"/>
    <cellStyle name="Accent1" xfId="1" builtinId="29"/>
    <cellStyle name="Comma [0]" xfId="5" builtinId="6"/>
    <cellStyle name="Currency" xfId="7" builtinId="4"/>
    <cellStyle name="Currency [0]" xfId="4" builtinId="7"/>
    <cellStyle name="Hyperlink" xfId="8" builtinId="8"/>
    <cellStyle name="Moneda 2 5" xfId="9" xr:uid="{9FF4F051-B0B2-40A2-BC7D-283BCFFD34CA}"/>
    <cellStyle name="Normal" xfId="0" builtinId="0"/>
    <cellStyle name="Normal_FINAL IDU Vfinal" xfId="3" xr:uid="{A4312C0C-98E7-4D63-A83F-36E660280432}"/>
    <cellStyle name="Percent" xfId="6"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clustered"/>
        <c:varyColors val="0"/>
        <c:ser>
          <c:idx val="0"/>
          <c:order val="0"/>
          <c:tx>
            <c:strRef>
              <c:f>Reporte!$B$35</c:f>
              <c:strCache>
                <c:ptCount val="1"/>
                <c:pt idx="0">
                  <c:v>SODIO</c:v>
                </c:pt>
              </c:strCache>
            </c:strRef>
          </c:tx>
          <c:spPr>
            <a:solidFill>
              <a:schemeClr val="accent5">
                <a:tint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Cálculo!$G$69</c:f>
              <c:numCache>
                <c:formatCode>0.0</c:formatCode>
                <c:ptCount val="1"/>
                <c:pt idx="0">
                  <c:v>3418.59</c:v>
                </c:pt>
              </c:numCache>
            </c:numRef>
          </c:val>
          <c:extLst>
            <c:ext xmlns:c16="http://schemas.microsoft.com/office/drawing/2014/chart" uri="{C3380CC4-5D6E-409C-BE32-E72D297353CC}">
              <c16:uniqueId val="{00000002-DF48-4E32-BACC-658013CD6DB0}"/>
            </c:ext>
          </c:extLst>
        </c:ser>
        <c:ser>
          <c:idx val="1"/>
          <c:order val="1"/>
          <c:tx>
            <c:strRef>
              <c:f>Reporte!$B$36</c:f>
              <c:strCache>
                <c:ptCount val="1"/>
                <c:pt idx="0">
                  <c:v>CMH</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Cálculo!$N$69</c:f>
              <c:numCache>
                <c:formatCode>0.0</c:formatCode>
                <c:ptCount val="1"/>
                <c:pt idx="0">
                  <c:v>3418.59</c:v>
                </c:pt>
              </c:numCache>
            </c:numRef>
          </c:val>
          <c:extLst>
            <c:ext xmlns:c16="http://schemas.microsoft.com/office/drawing/2014/chart" uri="{C3380CC4-5D6E-409C-BE32-E72D297353CC}">
              <c16:uniqueId val="{00000003-DF48-4E32-BACC-658013CD6DB0}"/>
            </c:ext>
          </c:extLst>
        </c:ser>
        <c:ser>
          <c:idx val="2"/>
          <c:order val="2"/>
          <c:tx>
            <c:strRef>
              <c:f>Reporte!$B$37</c:f>
              <c:strCache>
                <c:ptCount val="1"/>
                <c:pt idx="0">
                  <c:v>LED</c:v>
                </c:pt>
              </c:strCache>
            </c:strRef>
          </c:tx>
          <c:spPr>
            <a:solidFill>
              <a:schemeClr val="accent5">
                <a:shade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Cálculo!$U$69</c:f>
              <c:numCache>
                <c:formatCode>0.0</c:formatCode>
                <c:ptCount val="1"/>
                <c:pt idx="0">
                  <c:v>1808.94</c:v>
                </c:pt>
              </c:numCache>
            </c:numRef>
          </c:val>
          <c:extLst>
            <c:ext xmlns:c16="http://schemas.microsoft.com/office/drawing/2014/chart" uri="{C3380CC4-5D6E-409C-BE32-E72D297353CC}">
              <c16:uniqueId val="{00000005-DF48-4E32-BACC-658013CD6DB0}"/>
            </c:ext>
          </c:extLst>
        </c:ser>
        <c:dLbls>
          <c:showLegendKey val="0"/>
          <c:showVal val="1"/>
          <c:showCatName val="0"/>
          <c:showSerName val="0"/>
          <c:showPercent val="0"/>
          <c:showBubbleSize val="0"/>
        </c:dLbls>
        <c:gapWidth val="150"/>
        <c:overlap val="-25"/>
        <c:axId val="693839008"/>
        <c:axId val="689398800"/>
      </c:barChart>
      <c:catAx>
        <c:axId val="69383900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689398800"/>
        <c:crosses val="autoZero"/>
        <c:auto val="1"/>
        <c:lblAlgn val="ctr"/>
        <c:lblOffset val="100"/>
        <c:tickMarkSkip val="1"/>
        <c:noMultiLvlLbl val="0"/>
      </c:catAx>
      <c:valAx>
        <c:axId val="689398800"/>
        <c:scaling>
          <c:orientation val="minMax"/>
        </c:scaling>
        <c:delete val="1"/>
        <c:axPos val="l"/>
        <c:numFmt formatCode="0.0" sourceLinked="1"/>
        <c:majorTickMark val="out"/>
        <c:minorTickMark val="none"/>
        <c:tickLblPos val="nextTo"/>
        <c:crossAx val="693839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FC!$A$4</c:f>
          <c:strCache>
            <c:ptCount val="1"/>
            <c:pt idx="0">
              <c:v>ALTERNATIVA 1: SODIO</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FC!$A$5</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FC!$E$5</c:f>
              <c:numCache>
                <c:formatCode>_("$"* #,##0_);_("$"* \(#,##0\);_("$"* "-"_);_(@_)</c:formatCode>
                <c:ptCount val="1"/>
                <c:pt idx="0">
                  <c:v>15353222</c:v>
                </c:pt>
              </c:numCache>
            </c:numRef>
          </c:val>
          <c:extLst>
            <c:ext xmlns:c16="http://schemas.microsoft.com/office/drawing/2014/chart" uri="{C3380CC4-5D6E-409C-BE32-E72D297353CC}">
              <c16:uniqueId val="{00000003-1CC4-407E-8A16-A56947407776}"/>
            </c:ext>
          </c:extLst>
        </c:ser>
        <c:ser>
          <c:idx val="0"/>
          <c:order val="1"/>
          <c:tx>
            <c:strRef>
              <c:f>FC!$A$12</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FC!$E$12:$AS$12</c:f>
              <c:numCache>
                <c:formatCode>_("$"* #,##0_);_("$"* \(#,##0\);_("$"* "-"_);_(@_)</c:formatCode>
                <c:ptCount val="41"/>
                <c:pt idx="1">
                  <c:v>3076731</c:v>
                </c:pt>
                <c:pt idx="2">
                  <c:v>3076731</c:v>
                </c:pt>
                <c:pt idx="3">
                  <c:v>3076731</c:v>
                </c:pt>
                <c:pt idx="4">
                  <c:v>3076731</c:v>
                </c:pt>
                <c:pt idx="5">
                  <c:v>3076731</c:v>
                </c:pt>
                <c:pt idx="6">
                  <c:v>3076731</c:v>
                </c:pt>
                <c:pt idx="7">
                  <c:v>3076731</c:v>
                </c:pt>
                <c:pt idx="8">
                  <c:v>3076731</c:v>
                </c:pt>
                <c:pt idx="9">
                  <c:v>3076731</c:v>
                </c:pt>
                <c:pt idx="10">
                  <c:v>3076731</c:v>
                </c:pt>
                <c:pt idx="11">
                  <c:v>3076731</c:v>
                </c:pt>
                <c:pt idx="12">
                  <c:v>3076731</c:v>
                </c:pt>
                <c:pt idx="13">
                  <c:v>3076731</c:v>
                </c:pt>
                <c:pt idx="14">
                  <c:v>3076731</c:v>
                </c:pt>
                <c:pt idx="15">
                  <c:v>3076731</c:v>
                </c:pt>
                <c:pt idx="16">
                  <c:v>3076731</c:v>
                </c:pt>
                <c:pt idx="17">
                  <c:v>3076731</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FC!$A$13</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FC!$E$13:$AS$13</c:f>
              <c:numCache>
                <c:formatCode>_("$"* #,##0_);_("$"* \(#,##0\);_("$"* "-"_);_(@_)</c:formatCode>
                <c:ptCount val="41"/>
                <c:pt idx="0">
                  <c:v>0</c:v>
                </c:pt>
                <c:pt idx="1">
                  <c:v>0</c:v>
                </c:pt>
                <c:pt idx="2">
                  <c:v>0</c:v>
                </c:pt>
                <c:pt idx="3">
                  <c:v>0</c:v>
                </c:pt>
                <c:pt idx="4">
                  <c:v>0</c:v>
                </c:pt>
                <c:pt idx="5">
                  <c:v>0</c:v>
                </c:pt>
                <c:pt idx="6">
                  <c:v>0</c:v>
                </c:pt>
                <c:pt idx="7">
                  <c:v>8117990</c:v>
                </c:pt>
                <c:pt idx="8">
                  <c:v>0</c:v>
                </c:pt>
                <c:pt idx="9">
                  <c:v>0</c:v>
                </c:pt>
                <c:pt idx="10">
                  <c:v>0</c:v>
                </c:pt>
                <c:pt idx="11">
                  <c:v>0</c:v>
                </c:pt>
                <c:pt idx="12">
                  <c:v>0</c:v>
                </c:pt>
                <c:pt idx="13">
                  <c:v>0</c:v>
                </c:pt>
                <c:pt idx="14">
                  <c:v>0</c:v>
                </c:pt>
                <c:pt idx="15">
                  <c:v>8117990</c:v>
                </c:pt>
                <c:pt idx="16">
                  <c:v>0</c:v>
                </c:pt>
                <c:pt idx="17">
                  <c:v>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FC!$A$15</c:f>
          <c:strCache>
            <c:ptCount val="1"/>
            <c:pt idx="0">
              <c:v>ALTERNATIVA 2: CMH</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FC!$A$16</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FC!$E$16</c:f>
              <c:numCache>
                <c:formatCode>_("$"* #,##0_);_("$"* \(#,##0\);_("$"* "-"_);_(@_)</c:formatCode>
                <c:ptCount val="1"/>
                <c:pt idx="0">
                  <c:v>15046582</c:v>
                </c:pt>
              </c:numCache>
            </c:numRef>
          </c:val>
          <c:extLst>
            <c:ext xmlns:c16="http://schemas.microsoft.com/office/drawing/2014/chart" uri="{C3380CC4-5D6E-409C-BE32-E72D297353CC}">
              <c16:uniqueId val="{00000003-1CC4-407E-8A16-A56947407776}"/>
            </c:ext>
          </c:extLst>
        </c:ser>
        <c:ser>
          <c:idx val="0"/>
          <c:order val="1"/>
          <c:tx>
            <c:strRef>
              <c:f>FC!$A$23</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FC!$E$23:$AS$23</c:f>
              <c:numCache>
                <c:formatCode>_("$"* #,##0_);_("$"* \(#,##0\);_("$"* "-"_);_(@_)</c:formatCode>
                <c:ptCount val="41"/>
                <c:pt idx="1">
                  <c:v>3076731</c:v>
                </c:pt>
                <c:pt idx="2">
                  <c:v>3076731</c:v>
                </c:pt>
                <c:pt idx="3">
                  <c:v>3076731</c:v>
                </c:pt>
                <c:pt idx="4">
                  <c:v>3076731</c:v>
                </c:pt>
                <c:pt idx="5">
                  <c:v>3076731</c:v>
                </c:pt>
                <c:pt idx="6">
                  <c:v>3076731</c:v>
                </c:pt>
                <c:pt idx="7">
                  <c:v>3076731</c:v>
                </c:pt>
                <c:pt idx="8">
                  <c:v>3076731</c:v>
                </c:pt>
                <c:pt idx="9">
                  <c:v>3076731</c:v>
                </c:pt>
                <c:pt idx="10">
                  <c:v>3076731</c:v>
                </c:pt>
                <c:pt idx="11">
                  <c:v>3076731</c:v>
                </c:pt>
                <c:pt idx="12">
                  <c:v>3076731</c:v>
                </c:pt>
                <c:pt idx="13">
                  <c:v>3076731</c:v>
                </c:pt>
                <c:pt idx="14">
                  <c:v>3076731</c:v>
                </c:pt>
                <c:pt idx="15">
                  <c:v>3076731</c:v>
                </c:pt>
                <c:pt idx="16">
                  <c:v>3076731</c:v>
                </c:pt>
                <c:pt idx="17">
                  <c:v>3076731</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FC!$A$24</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FC!$E$24:$AS$24</c:f>
              <c:numCache>
                <c:formatCode>_("$"* #,##0_);_("$"* \(#,##0\);_("$"* "-"_);_(@_)</c:formatCode>
                <c:ptCount val="41"/>
                <c:pt idx="0">
                  <c:v>0</c:v>
                </c:pt>
                <c:pt idx="1">
                  <c:v>0</c:v>
                </c:pt>
                <c:pt idx="2">
                  <c:v>0</c:v>
                </c:pt>
                <c:pt idx="3">
                  <c:v>0</c:v>
                </c:pt>
                <c:pt idx="4">
                  <c:v>0</c:v>
                </c:pt>
                <c:pt idx="5">
                  <c:v>0</c:v>
                </c:pt>
                <c:pt idx="6">
                  <c:v>0</c:v>
                </c:pt>
                <c:pt idx="7">
                  <c:v>7811350</c:v>
                </c:pt>
                <c:pt idx="8">
                  <c:v>0</c:v>
                </c:pt>
                <c:pt idx="9">
                  <c:v>0</c:v>
                </c:pt>
                <c:pt idx="10">
                  <c:v>0</c:v>
                </c:pt>
                <c:pt idx="11">
                  <c:v>0</c:v>
                </c:pt>
                <c:pt idx="12">
                  <c:v>0</c:v>
                </c:pt>
                <c:pt idx="13">
                  <c:v>0</c:v>
                </c:pt>
                <c:pt idx="14">
                  <c:v>0</c:v>
                </c:pt>
                <c:pt idx="15">
                  <c:v>7811350</c:v>
                </c:pt>
                <c:pt idx="16">
                  <c:v>0</c:v>
                </c:pt>
                <c:pt idx="17">
                  <c:v>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FC!$A$26</c:f>
          <c:strCache>
            <c:ptCount val="1"/>
            <c:pt idx="0">
              <c:v>ALTERNATIVA 3: LED</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FC!$A$27</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FC!$E$27</c:f>
              <c:numCache>
                <c:formatCode>_("$"* #,##0_);_("$"* \(#,##0\);_("$"* "-"_);_(@_)</c:formatCode>
                <c:ptCount val="1"/>
                <c:pt idx="0">
                  <c:v>19426462</c:v>
                </c:pt>
              </c:numCache>
            </c:numRef>
          </c:val>
          <c:extLst>
            <c:ext xmlns:c16="http://schemas.microsoft.com/office/drawing/2014/chart" uri="{C3380CC4-5D6E-409C-BE32-E72D297353CC}">
              <c16:uniqueId val="{00000003-1CC4-407E-8A16-A56947407776}"/>
            </c:ext>
          </c:extLst>
        </c:ser>
        <c:ser>
          <c:idx val="0"/>
          <c:order val="1"/>
          <c:tx>
            <c:strRef>
              <c:f>FC!$A$34</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FC!$E$34:$AS$34</c:f>
              <c:numCache>
                <c:formatCode>_("$"* #,##0_);_("$"* \(#,##0\);_("$"* "-"_);_(@_)</c:formatCode>
                <c:ptCount val="41"/>
                <c:pt idx="1">
                  <c:v>1628045.9999999998</c:v>
                </c:pt>
                <c:pt idx="2">
                  <c:v>1628045.9999999998</c:v>
                </c:pt>
                <c:pt idx="3">
                  <c:v>1628045.9999999998</c:v>
                </c:pt>
                <c:pt idx="4">
                  <c:v>1628045.9999999998</c:v>
                </c:pt>
                <c:pt idx="5">
                  <c:v>1628045.9999999998</c:v>
                </c:pt>
                <c:pt idx="6">
                  <c:v>1628045.9999999998</c:v>
                </c:pt>
                <c:pt idx="7">
                  <c:v>1628045.9999999998</c:v>
                </c:pt>
                <c:pt idx="8">
                  <c:v>1628045.9999999998</c:v>
                </c:pt>
                <c:pt idx="9">
                  <c:v>1628045.9999999998</c:v>
                </c:pt>
                <c:pt idx="10">
                  <c:v>1628045.9999999998</c:v>
                </c:pt>
                <c:pt idx="11">
                  <c:v>1628045.9999999998</c:v>
                </c:pt>
                <c:pt idx="12">
                  <c:v>1628045.9999999998</c:v>
                </c:pt>
                <c:pt idx="13">
                  <c:v>1628045.9999999998</c:v>
                </c:pt>
                <c:pt idx="14">
                  <c:v>1628045.9999999998</c:v>
                </c:pt>
                <c:pt idx="15">
                  <c:v>1628045.9999999998</c:v>
                </c:pt>
                <c:pt idx="16">
                  <c:v>1628045.9999999998</c:v>
                </c:pt>
                <c:pt idx="17">
                  <c:v>1628045.9999999998</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FC!$A$35</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FC!$E$35:$AS$35</c:f>
              <c:numCache>
                <c:formatCode>_("$"* #,##0_);_("$"* \(#,##0\);_("$"* "-"_);_(@_)</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12191230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youtu.be/zHh9hfpDmJ8"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5743575</xdr:colOff>
          <xdr:row>1</xdr:row>
          <xdr:rowOff>47625</xdr:rowOff>
        </xdr:from>
        <xdr:to>
          <xdr:col>2</xdr:col>
          <xdr:colOff>7191375</xdr:colOff>
          <xdr:row>1</xdr:row>
          <xdr:rowOff>257175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3</xdr:row>
          <xdr:rowOff>47625</xdr:rowOff>
        </xdr:from>
        <xdr:to>
          <xdr:col>2</xdr:col>
          <xdr:colOff>7191375</xdr:colOff>
          <xdr:row>3</xdr:row>
          <xdr:rowOff>257175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5</xdr:row>
          <xdr:rowOff>38100</xdr:rowOff>
        </xdr:from>
        <xdr:to>
          <xdr:col>2</xdr:col>
          <xdr:colOff>7191375</xdr:colOff>
          <xdr:row>5</xdr:row>
          <xdr:rowOff>247650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7</xdr:row>
          <xdr:rowOff>28575</xdr:rowOff>
        </xdr:from>
        <xdr:to>
          <xdr:col>2</xdr:col>
          <xdr:colOff>7191375</xdr:colOff>
          <xdr:row>7</xdr:row>
          <xdr:rowOff>238125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9</xdr:row>
          <xdr:rowOff>47625</xdr:rowOff>
        </xdr:from>
        <xdr:to>
          <xdr:col>2</xdr:col>
          <xdr:colOff>7191375</xdr:colOff>
          <xdr:row>9</xdr:row>
          <xdr:rowOff>257175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11</xdr:col>
      <xdr:colOff>213501</xdr:colOff>
      <xdr:row>20</xdr:row>
      <xdr:rowOff>133350</xdr:rowOff>
    </xdr:to>
    <xdr:pic>
      <xdr:nvPicPr>
        <xdr:cNvPr id="2" name="Imagen 1">
          <a:hlinkClick xmlns:r="http://schemas.openxmlformats.org/officeDocument/2006/relationships" r:id="rId1" tooltip="Vide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0" y="571500"/>
          <a:ext cx="6185676" cy="36290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9</xdr:row>
          <xdr:rowOff>161925</xdr:rowOff>
        </xdr:from>
        <xdr:to>
          <xdr:col>9</xdr:col>
          <xdr:colOff>876300</xdr:colOff>
          <xdr:row>10</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Luminarias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142875</xdr:rowOff>
        </xdr:from>
        <xdr:to>
          <xdr:col>9</xdr:col>
          <xdr:colOff>866775</xdr:colOff>
          <xdr:row>12</xdr:row>
          <xdr:rowOff>133350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Postes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114300</xdr:rowOff>
        </xdr:from>
        <xdr:to>
          <xdr:col>9</xdr:col>
          <xdr:colOff>866775</xdr:colOff>
          <xdr:row>14</xdr:row>
          <xdr:rowOff>123825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Otros activos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14</xdr:row>
          <xdr:rowOff>0</xdr:rowOff>
        </xdr:from>
        <xdr:to>
          <xdr:col>20</xdr:col>
          <xdr:colOff>1047750</xdr:colOff>
          <xdr:row>14</xdr:row>
          <xdr:rowOff>200025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5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12</xdr:row>
          <xdr:rowOff>0</xdr:rowOff>
        </xdr:from>
        <xdr:to>
          <xdr:col>20</xdr:col>
          <xdr:colOff>1047750</xdr:colOff>
          <xdr:row>12</xdr:row>
          <xdr:rowOff>200025</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Reporte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15</xdr:col>
      <xdr:colOff>280987</xdr:colOff>
      <xdr:row>4</xdr:row>
      <xdr:rowOff>142873</xdr:rowOff>
    </xdr:from>
    <xdr:to>
      <xdr:col>21</xdr:col>
      <xdr:colOff>42862</xdr:colOff>
      <xdr:row>16</xdr:row>
      <xdr:rowOff>35717</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3032581" y="1214436"/>
          <a:ext cx="5572125" cy="23217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507999</xdr:colOff>
      <xdr:row>1</xdr:row>
      <xdr:rowOff>63499</xdr:rowOff>
    </xdr:from>
    <xdr:to>
      <xdr:col>20</xdr:col>
      <xdr:colOff>1109900</xdr:colOff>
      <xdr:row>17</xdr:row>
      <xdr:rowOff>42333</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461999" y="497416"/>
          <a:ext cx="5195068" cy="30903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381000</xdr:colOff>
      <xdr:row>1</xdr:row>
      <xdr:rowOff>11907</xdr:rowOff>
    </xdr:from>
    <xdr:to>
      <xdr:col>20</xdr:col>
      <xdr:colOff>1302786</xdr:colOff>
      <xdr:row>15</xdr:row>
      <xdr:rowOff>35719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r="5096" b="4478"/>
        <a:stretch/>
      </xdr:blipFill>
      <xdr:spPr>
        <a:xfrm>
          <a:off x="13323094" y="440532"/>
          <a:ext cx="5517598" cy="302418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20</xdr:row>
      <xdr:rowOff>0</xdr:rowOff>
    </xdr:from>
    <xdr:to>
      <xdr:col>15</xdr:col>
      <xdr:colOff>380999</xdr:colOff>
      <xdr:row>27</xdr:row>
      <xdr:rowOff>190499</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28575</xdr:colOff>
      <xdr:row>13</xdr:row>
      <xdr:rowOff>53313</xdr:rowOff>
    </xdr:from>
    <xdr:to>
      <xdr:col>32</xdr:col>
      <xdr:colOff>364575</xdr:colOff>
      <xdr:row>25</xdr:row>
      <xdr:rowOff>107313</xdr:rowOff>
    </xdr:to>
    <xdr:graphicFrame macro="">
      <xdr:nvGraphicFramePr>
        <xdr:cNvPr id="10" name="Gráfico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28575</xdr:colOff>
      <xdr:row>26</xdr:row>
      <xdr:rowOff>113476</xdr:rowOff>
    </xdr:from>
    <xdr:to>
      <xdr:col>32</xdr:col>
      <xdr:colOff>364575</xdr:colOff>
      <xdr:row>38</xdr:row>
      <xdr:rowOff>167476</xdr:rowOff>
    </xdr:to>
    <xdr:graphicFrame macro="">
      <xdr:nvGraphicFramePr>
        <xdr:cNvPr id="16" name="Gráfico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377826</xdr:colOff>
      <xdr:row>40</xdr:row>
      <xdr:rowOff>36059</xdr:rowOff>
    </xdr:from>
    <xdr:to>
      <xdr:col>32</xdr:col>
      <xdr:colOff>332826</xdr:colOff>
      <xdr:row>52</xdr:row>
      <xdr:rowOff>0</xdr:rowOff>
    </xdr:to>
    <xdr:graphicFrame macro="">
      <xdr:nvGraphicFramePr>
        <xdr:cNvPr id="17" name="Gráfico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248708</xdr:colOff>
      <xdr:row>0</xdr:row>
      <xdr:rowOff>160628</xdr:rowOff>
    </xdr:from>
    <xdr:to>
      <xdr:col>24</xdr:col>
      <xdr:colOff>184704</xdr:colOff>
      <xdr:row>5</xdr:row>
      <xdr:rowOff>468</xdr:rowOff>
    </xdr:to>
    <xdr:pic>
      <xdr:nvPicPr>
        <xdr:cNvPr id="15" name="Gráfico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106708" y="160628"/>
          <a:ext cx="2221996" cy="792340"/>
        </a:xfrm>
        <a:prstGeom prst="rect">
          <a:avLst/>
        </a:prstGeom>
      </xdr:spPr>
    </xdr:pic>
    <xdr:clientData/>
  </xdr:twoCellAnchor>
  <xdr:twoCellAnchor editAs="oneCell">
    <xdr:from>
      <xdr:col>26</xdr:col>
      <xdr:colOff>1784</xdr:colOff>
      <xdr:row>0</xdr:row>
      <xdr:rowOff>142875</xdr:rowOff>
    </xdr:from>
    <xdr:to>
      <xdr:col>31</xdr:col>
      <xdr:colOff>340627</xdr:colOff>
      <xdr:row>5</xdr:row>
      <xdr:rowOff>29675</xdr:rowOff>
    </xdr:to>
    <xdr:pic>
      <xdr:nvPicPr>
        <xdr:cNvPr id="21" name="Gráfico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07784" y="142875"/>
          <a:ext cx="2243843" cy="839300"/>
        </a:xfrm>
        <a:prstGeom prst="rect">
          <a:avLst/>
        </a:prstGeom>
      </xdr:spPr>
    </xdr:pic>
    <xdr:clientData/>
  </xdr:twoCellAnchor>
  <xdr:oneCellAnchor>
    <xdr:from>
      <xdr:col>1</xdr:col>
      <xdr:colOff>185208</xdr:colOff>
      <xdr:row>0</xdr:row>
      <xdr:rowOff>171211</xdr:rowOff>
    </xdr:from>
    <xdr:ext cx="2221996" cy="792340"/>
    <xdr:pic>
      <xdr:nvPicPr>
        <xdr:cNvPr id="23" name="Gráfico 22">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66208" y="171211"/>
          <a:ext cx="2221996" cy="792340"/>
        </a:xfrm>
        <a:prstGeom prst="rect">
          <a:avLst/>
        </a:prstGeom>
      </xdr:spPr>
    </xdr:pic>
    <xdr:clientData/>
  </xdr:oneCellAnchor>
  <xdr:oneCellAnchor>
    <xdr:from>
      <xdr:col>9</xdr:col>
      <xdr:colOff>22951</xdr:colOff>
      <xdr:row>0</xdr:row>
      <xdr:rowOff>132292</xdr:rowOff>
    </xdr:from>
    <xdr:ext cx="2243843" cy="839300"/>
    <xdr:pic>
      <xdr:nvPicPr>
        <xdr:cNvPr id="24" name="Gráfico 23">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451951" y="132292"/>
          <a:ext cx="2243843" cy="839300"/>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youtu.be/zHh9hfpDmJ8" TargetMode="External"/><Relationship Id="rId1" Type="http://schemas.openxmlformats.org/officeDocument/2006/relationships/hyperlink" Target="https://drive.google.com/file/d/1Pv4zXdnLJI52KFuK1Mj3BkgX5diPesMv/view?usp=shar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7A0-110A-4E68-AF5C-4BD1023934B9}">
  <sheetPr codeName="Hoja2">
    <tabColor rgb="FFFFFF00"/>
  </sheetPr>
  <dimension ref="B2:C17"/>
  <sheetViews>
    <sheetView workbookViewId="0">
      <selection activeCell="B2" sqref="B2:C2"/>
    </sheetView>
  </sheetViews>
  <sheetFormatPr defaultColWidth="11.42578125" defaultRowHeight="24.95" customHeight="1" x14ac:dyDescent="0.25"/>
  <cols>
    <col min="1" max="1" width="7" style="1" customWidth="1"/>
    <col min="2" max="2" width="6.5703125" style="1" customWidth="1"/>
    <col min="3" max="3" width="109" style="1" customWidth="1"/>
    <col min="4" max="16384" width="11.42578125" style="1"/>
  </cols>
  <sheetData>
    <row r="2" spans="2:3" ht="24.95" customHeight="1" x14ac:dyDescent="0.25">
      <c r="B2" s="171" t="s">
        <v>120</v>
      </c>
      <c r="C2" s="171"/>
    </row>
    <row r="3" spans="2:3" ht="24.95" customHeight="1" x14ac:dyDescent="0.25">
      <c r="B3" s="2"/>
      <c r="C3" s="3" t="s">
        <v>225</v>
      </c>
    </row>
    <row r="4" spans="2:3" ht="24.95" customHeight="1" x14ac:dyDescent="0.25">
      <c r="B4" s="172" t="s">
        <v>1</v>
      </c>
      <c r="C4" s="172"/>
    </row>
    <row r="5" spans="2:3" ht="24.95" customHeight="1" x14ac:dyDescent="0.25">
      <c r="B5" s="2"/>
      <c r="C5" s="3" t="s">
        <v>226</v>
      </c>
    </row>
    <row r="6" spans="2:3" ht="24.95" customHeight="1" x14ac:dyDescent="0.25">
      <c r="B6" s="172" t="s">
        <v>2</v>
      </c>
      <c r="C6" s="172"/>
    </row>
    <row r="7" spans="2:3" ht="24.95" customHeight="1" x14ac:dyDescent="0.25">
      <c r="B7" s="2"/>
      <c r="C7" s="3" t="s">
        <v>227</v>
      </c>
    </row>
    <row r="8" spans="2:3" ht="24.95" customHeight="1" x14ac:dyDescent="0.25">
      <c r="B8" s="172" t="s">
        <v>55</v>
      </c>
      <c r="C8" s="172"/>
    </row>
    <row r="9" spans="2:3" ht="24.95" customHeight="1" x14ac:dyDescent="0.25">
      <c r="B9" s="2"/>
      <c r="C9" s="3" t="s">
        <v>228</v>
      </c>
    </row>
    <row r="10" spans="2:3" ht="24.95" customHeight="1" x14ac:dyDescent="0.25">
      <c r="B10" s="173" t="s">
        <v>0</v>
      </c>
      <c r="C10" s="173"/>
    </row>
    <row r="11" spans="2:3" ht="24.95" customHeight="1" x14ac:dyDescent="0.25">
      <c r="B11" s="2"/>
      <c r="C11" s="3" t="s">
        <v>229</v>
      </c>
    </row>
    <row r="12" spans="2:3" ht="24.95" customHeight="1" x14ac:dyDescent="0.25">
      <c r="B12" s="170" t="s">
        <v>3</v>
      </c>
      <c r="C12" s="170"/>
    </row>
    <row r="13" spans="2:3" ht="24.95" customHeight="1" x14ac:dyDescent="0.25">
      <c r="B13" s="2"/>
      <c r="C13" s="3" t="s">
        <v>6</v>
      </c>
    </row>
    <row r="14" spans="2:3" ht="24.95" customHeight="1" x14ac:dyDescent="0.25">
      <c r="B14" s="170" t="s">
        <v>4</v>
      </c>
      <c r="C14" s="170"/>
    </row>
    <row r="15" spans="2:3" ht="24.95" customHeight="1" x14ac:dyDescent="0.25">
      <c r="B15" s="2"/>
      <c r="C15" s="3" t="s">
        <v>7</v>
      </c>
    </row>
    <row r="16" spans="2:3" ht="24.95" customHeight="1" x14ac:dyDescent="0.25">
      <c r="B16" s="170" t="s">
        <v>5</v>
      </c>
      <c r="C16" s="170"/>
    </row>
    <row r="17" spans="2:3" ht="24.95" customHeight="1" x14ac:dyDescent="0.25">
      <c r="B17" s="2"/>
      <c r="C17" s="3" t="s">
        <v>230</v>
      </c>
    </row>
  </sheetData>
  <sheetProtection algorithmName="SHA-512" hashValue="37yzOiAgg9QzGR2l45sk0EU+f1dZJ2yBbKen+QqOP1BA7UFrh7yj5b5UWYnH9iHYF/vXhzh/KIcqF80vZDlZiw==" saltValue="yG9c7o0clS5RKy7cZjTzaQ==" spinCount="100000" sheet="1" objects="1" scenarios="1"/>
  <mergeCells count="8">
    <mergeCell ref="B14:C14"/>
    <mergeCell ref="B16:C16"/>
    <mergeCell ref="B2:C2"/>
    <mergeCell ref="B4:C4"/>
    <mergeCell ref="B6:C6"/>
    <mergeCell ref="B8:C8"/>
    <mergeCell ref="B10:C10"/>
    <mergeCell ref="B12:C12"/>
  </mergeCells>
  <pageMargins left="0.7" right="0.7" top="0.75" bottom="0.75" header="0.3" footer="0.3"/>
  <pageSetup paperSize="9" orientation="portrait" horizontalDpi="4294967293"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INSTRUC">
                <anchor moveWithCells="1" sizeWithCells="1">
                  <from>
                    <xdr:col>2</xdr:col>
                    <xdr:colOff>5743575</xdr:colOff>
                    <xdr:row>1</xdr:row>
                    <xdr:rowOff>47625</xdr:rowOff>
                  </from>
                  <to>
                    <xdr:col>2</xdr:col>
                    <xdr:colOff>7191375</xdr:colOff>
                    <xdr:row>1</xdr:row>
                    <xdr:rowOff>257175</xdr:rowOff>
                  </to>
                </anchor>
              </controlPr>
            </control>
          </mc:Choice>
        </mc:AlternateContent>
        <mc:AlternateContent xmlns:mc="http://schemas.openxmlformats.org/markup-compatibility/2006">
          <mc:Choice Requires="x14">
            <control shapeId="9218" r:id="rId5" name="Button 2">
              <controlPr defaultSize="0" print="0" autoFill="0" autoPict="0" macro="[0]!LUMI">
                <anchor moveWithCells="1" sizeWithCells="1">
                  <from>
                    <xdr:col>2</xdr:col>
                    <xdr:colOff>5743575</xdr:colOff>
                    <xdr:row>3</xdr:row>
                    <xdr:rowOff>47625</xdr:rowOff>
                  </from>
                  <to>
                    <xdr:col>2</xdr:col>
                    <xdr:colOff>7191375</xdr:colOff>
                    <xdr:row>3</xdr:row>
                    <xdr:rowOff>257175</xdr:rowOff>
                  </to>
                </anchor>
              </controlPr>
            </control>
          </mc:Choice>
        </mc:AlternateContent>
        <mc:AlternateContent xmlns:mc="http://schemas.openxmlformats.org/markup-compatibility/2006">
          <mc:Choice Requires="x14">
            <control shapeId="9219" r:id="rId6" name="Button 3">
              <controlPr defaultSize="0" print="0" autoFill="0" autoPict="0" macro="[0]!POSTE">
                <anchor moveWithCells="1" sizeWithCells="1">
                  <from>
                    <xdr:col>2</xdr:col>
                    <xdr:colOff>5743575</xdr:colOff>
                    <xdr:row>5</xdr:row>
                    <xdr:rowOff>38100</xdr:rowOff>
                  </from>
                  <to>
                    <xdr:col>2</xdr:col>
                    <xdr:colOff>7191375</xdr:colOff>
                    <xdr:row>5</xdr:row>
                    <xdr:rowOff>247650</xdr:rowOff>
                  </to>
                </anchor>
              </controlPr>
            </control>
          </mc:Choice>
        </mc:AlternateContent>
        <mc:AlternateContent xmlns:mc="http://schemas.openxmlformats.org/markup-compatibility/2006">
          <mc:Choice Requires="x14">
            <control shapeId="9220" r:id="rId7" name="Button 4">
              <controlPr defaultSize="0" print="0" autoFill="0" autoPict="0" macro="[0]!OTROS">
                <anchor moveWithCells="1" sizeWithCells="1">
                  <from>
                    <xdr:col>2</xdr:col>
                    <xdr:colOff>5743575</xdr:colOff>
                    <xdr:row>7</xdr:row>
                    <xdr:rowOff>28575</xdr:rowOff>
                  </from>
                  <to>
                    <xdr:col>2</xdr:col>
                    <xdr:colOff>7191375</xdr:colOff>
                    <xdr:row>7</xdr:row>
                    <xdr:rowOff>238125</xdr:rowOff>
                  </to>
                </anchor>
              </controlPr>
            </control>
          </mc:Choice>
        </mc:AlternateContent>
        <mc:AlternateContent xmlns:mc="http://schemas.openxmlformats.org/markup-compatibility/2006">
          <mc:Choice Requires="x14">
            <control shapeId="9221" r:id="rId8" name="Button 5">
              <controlPr defaultSize="0" print="0" autoFill="0" autoPict="0" macro="[0]!CALCULAR">
                <anchor moveWithCells="1" sizeWithCells="1">
                  <from>
                    <xdr:col>2</xdr:col>
                    <xdr:colOff>5743575</xdr:colOff>
                    <xdr:row>9</xdr:row>
                    <xdr:rowOff>47625</xdr:rowOff>
                  </from>
                  <to>
                    <xdr:col>2</xdr:col>
                    <xdr:colOff>7191375</xdr:colOff>
                    <xdr:row>9</xdr:row>
                    <xdr:rowOff>257175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B11FC-A1DC-4742-8B8B-A3F07E08DAA9}">
  <sheetPr codeName="Hoja1">
    <tabColor rgb="FFFFFF00"/>
  </sheetPr>
  <dimension ref="B3:J22"/>
  <sheetViews>
    <sheetView tabSelected="1" zoomScale="120" zoomScaleNormal="120" workbookViewId="0">
      <selection activeCell="N26" sqref="N26"/>
    </sheetView>
  </sheetViews>
  <sheetFormatPr defaultColWidth="11.42578125" defaultRowHeight="15" x14ac:dyDescent="0.25"/>
  <cols>
    <col min="1" max="2" width="11.42578125" style="1"/>
    <col min="3" max="9" width="8.140625" style="1" customWidth="1"/>
    <col min="10" max="10" width="9.7109375" style="1" customWidth="1"/>
    <col min="11" max="16384" width="11.42578125" style="1"/>
  </cols>
  <sheetData>
    <row r="3" spans="2:10" x14ac:dyDescent="0.25">
      <c r="B3" s="1" t="s">
        <v>231</v>
      </c>
    </row>
    <row r="4" spans="2:10" x14ac:dyDescent="0.25">
      <c r="B4" s="174" t="s">
        <v>234</v>
      </c>
      <c r="C4" s="174"/>
      <c r="D4" s="174"/>
      <c r="E4" s="174"/>
      <c r="F4" s="174"/>
      <c r="G4" s="174"/>
      <c r="H4" s="174"/>
      <c r="I4" s="174"/>
      <c r="J4" s="174"/>
    </row>
    <row r="5" spans="2:10" x14ac:dyDescent="0.25">
      <c r="B5" s="174"/>
      <c r="C5" s="174"/>
      <c r="D5" s="174"/>
      <c r="E5" s="174"/>
      <c r="F5" s="174"/>
      <c r="G5" s="174"/>
      <c r="H5" s="174"/>
      <c r="I5" s="174"/>
      <c r="J5" s="174"/>
    </row>
    <row r="6" spans="2:10" x14ac:dyDescent="0.25">
      <c r="B6" s="174"/>
      <c r="C6" s="174"/>
      <c r="D6" s="174"/>
      <c r="E6" s="174"/>
      <c r="F6" s="174"/>
      <c r="G6" s="174"/>
      <c r="H6" s="174"/>
      <c r="I6" s="174"/>
      <c r="J6" s="174"/>
    </row>
    <row r="7" spans="2:10" x14ac:dyDescent="0.25">
      <c r="B7" s="174"/>
      <c r="C7" s="174"/>
      <c r="D7" s="174"/>
      <c r="E7" s="174"/>
      <c r="F7" s="174"/>
      <c r="G7" s="174"/>
      <c r="H7" s="174"/>
      <c r="I7" s="174"/>
      <c r="J7" s="174"/>
    </row>
    <row r="8" spans="2:10" x14ac:dyDescent="0.25">
      <c r="B8" s="174"/>
      <c r="C8" s="174"/>
      <c r="D8" s="174"/>
      <c r="E8" s="174"/>
      <c r="F8" s="174"/>
      <c r="G8" s="174"/>
      <c r="H8" s="174"/>
      <c r="I8" s="174"/>
      <c r="J8" s="174"/>
    </row>
    <row r="9" spans="2:10" x14ac:dyDescent="0.25">
      <c r="B9" s="174"/>
      <c r="C9" s="174"/>
      <c r="D9" s="174"/>
      <c r="E9" s="174"/>
      <c r="F9" s="174"/>
      <c r="G9" s="174"/>
      <c r="H9" s="174"/>
      <c r="I9" s="174"/>
      <c r="J9" s="174"/>
    </row>
    <row r="10" spans="2:10" x14ac:dyDescent="0.25">
      <c r="B10" s="174"/>
      <c r="C10" s="174"/>
      <c r="D10" s="174"/>
      <c r="E10" s="174"/>
      <c r="F10" s="174"/>
      <c r="G10" s="174"/>
      <c r="H10" s="174"/>
      <c r="I10" s="174"/>
      <c r="J10" s="174"/>
    </row>
    <row r="11" spans="2:10" x14ac:dyDescent="0.25">
      <c r="B11" s="174"/>
      <c r="C11" s="174"/>
      <c r="D11" s="174"/>
      <c r="E11" s="174"/>
      <c r="F11" s="174"/>
      <c r="G11" s="174"/>
      <c r="H11" s="174"/>
      <c r="I11" s="174"/>
      <c r="J11" s="174"/>
    </row>
    <row r="12" spans="2:10" x14ac:dyDescent="0.25">
      <c r="B12" s="174"/>
      <c r="C12" s="174"/>
      <c r="D12" s="174"/>
      <c r="E12" s="174"/>
      <c r="F12" s="174"/>
      <c r="G12" s="174"/>
      <c r="H12" s="174"/>
      <c r="I12" s="174"/>
      <c r="J12" s="174"/>
    </row>
    <row r="13" spans="2:10" ht="35.25" customHeight="1" x14ac:dyDescent="0.25">
      <c r="B13" s="174"/>
      <c r="C13" s="174"/>
      <c r="D13" s="174"/>
      <c r="E13" s="174"/>
      <c r="F13" s="174"/>
      <c r="G13" s="174"/>
      <c r="H13" s="174"/>
      <c r="I13" s="174"/>
      <c r="J13" s="174"/>
    </row>
    <row r="14" spans="2:10" x14ac:dyDescent="0.25">
      <c r="B14" s="174"/>
      <c r="C14" s="174"/>
      <c r="D14" s="174"/>
      <c r="E14" s="174"/>
      <c r="F14" s="174"/>
      <c r="G14" s="174"/>
      <c r="H14" s="174"/>
      <c r="I14" s="174"/>
      <c r="J14" s="174"/>
    </row>
    <row r="15" spans="2:10" x14ac:dyDescent="0.25">
      <c r="B15" s="174"/>
      <c r="C15" s="174"/>
      <c r="D15" s="174"/>
      <c r="E15" s="174"/>
      <c r="F15" s="174"/>
      <c r="G15" s="174"/>
      <c r="H15" s="174"/>
      <c r="I15" s="174"/>
      <c r="J15" s="174"/>
    </row>
    <row r="16" spans="2:10" x14ac:dyDescent="0.25">
      <c r="B16" s="174"/>
      <c r="C16" s="174"/>
      <c r="D16" s="174"/>
      <c r="E16" s="174"/>
      <c r="F16" s="174"/>
      <c r="G16" s="174"/>
      <c r="H16" s="174"/>
      <c r="I16" s="174"/>
      <c r="J16" s="174"/>
    </row>
    <row r="17" spans="2:10" x14ac:dyDescent="0.25">
      <c r="B17" s="174"/>
      <c r="C17" s="174"/>
      <c r="D17" s="174"/>
      <c r="E17" s="174"/>
      <c r="F17" s="174"/>
      <c r="G17" s="174"/>
      <c r="H17" s="174"/>
      <c r="I17" s="174"/>
      <c r="J17" s="174"/>
    </row>
    <row r="18" spans="2:10" x14ac:dyDescent="0.25">
      <c r="B18" s="174"/>
      <c r="C18" s="174"/>
      <c r="D18" s="174"/>
      <c r="E18" s="174"/>
      <c r="F18" s="174"/>
      <c r="G18" s="174"/>
      <c r="H18" s="174"/>
      <c r="I18" s="174"/>
      <c r="J18" s="174"/>
    </row>
    <row r="19" spans="2:10" x14ac:dyDescent="0.25">
      <c r="B19" s="174"/>
      <c r="C19" s="174"/>
      <c r="D19" s="174"/>
      <c r="E19" s="174"/>
      <c r="F19" s="174"/>
      <c r="G19" s="174"/>
      <c r="H19" s="174"/>
      <c r="I19" s="174"/>
      <c r="J19" s="174"/>
    </row>
    <row r="20" spans="2:10" x14ac:dyDescent="0.25">
      <c r="B20" s="174"/>
      <c r="C20" s="174"/>
      <c r="D20" s="174"/>
      <c r="E20" s="174"/>
      <c r="F20" s="174"/>
      <c r="G20" s="174"/>
      <c r="H20" s="174"/>
      <c r="I20" s="174"/>
      <c r="J20" s="174"/>
    </row>
    <row r="21" spans="2:10" x14ac:dyDescent="0.25">
      <c r="B21" s="174"/>
      <c r="C21" s="174"/>
      <c r="D21" s="174"/>
      <c r="E21" s="174"/>
      <c r="F21" s="174"/>
      <c r="G21" s="174"/>
      <c r="H21" s="174"/>
      <c r="I21" s="174"/>
      <c r="J21" s="174"/>
    </row>
    <row r="22" spans="2:10" x14ac:dyDescent="0.25">
      <c r="B22" s="174"/>
      <c r="C22" s="174"/>
      <c r="D22" s="174"/>
      <c r="E22" s="174"/>
      <c r="F22" s="174"/>
      <c r="G22" s="174"/>
      <c r="H22" s="174"/>
      <c r="I22" s="174"/>
      <c r="J22" s="174"/>
    </row>
  </sheetData>
  <mergeCells count="1">
    <mergeCell ref="B4:J22"/>
  </mergeCells>
  <hyperlinks>
    <hyperlink ref="B4:J22" r:id="rId1" display="https://drive.google.com/file/d/1Pv4zXdnLJI52KFuK1Mj3BkgX5diPesMv/view?usp=sharing" xr:uid="{69FA83B2-6F83-4889-A061-0D1435736E8C}"/>
    <hyperlink ref="B4" r:id="rId2" xr:uid="{0E25D38B-BA43-4549-84FB-3EF419635372}"/>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2EA81-CEB2-4192-8CF6-2122D14C77F1}">
  <sheetPr codeName="Hoja4">
    <tabColor rgb="FFFFC000"/>
  </sheetPr>
  <dimension ref="A1:G241"/>
  <sheetViews>
    <sheetView zoomScale="130" zoomScaleNormal="130" workbookViewId="0">
      <selection activeCell="A23" sqref="A23"/>
    </sheetView>
  </sheetViews>
  <sheetFormatPr defaultColWidth="5.7109375" defaultRowHeight="12" x14ac:dyDescent="0.25"/>
  <cols>
    <col min="1" max="1" width="5.7109375" style="95"/>
    <col min="2" max="2" width="25.42578125" style="91" bestFit="1" customWidth="1"/>
    <col min="3" max="3" width="17.5703125" style="91" bestFit="1" customWidth="1"/>
    <col min="4" max="4" width="11.42578125" style="91" bestFit="1" customWidth="1"/>
    <col min="5" max="5" width="18.85546875" style="91" bestFit="1" customWidth="1"/>
    <col min="6" max="6" width="13" style="91" bestFit="1" customWidth="1"/>
    <col min="7" max="7" width="11.7109375" style="94" bestFit="1" customWidth="1"/>
    <col min="8" max="16384" width="5.7109375" style="91"/>
  </cols>
  <sheetData>
    <row r="1" spans="1:7" ht="19.5" customHeight="1" x14ac:dyDescent="0.25">
      <c r="A1" s="90"/>
      <c r="B1" s="175" t="s">
        <v>214</v>
      </c>
      <c r="C1" s="175"/>
      <c r="D1" s="175"/>
      <c r="E1" s="175"/>
      <c r="F1" s="175"/>
      <c r="G1" s="175"/>
    </row>
    <row r="2" spans="1:7" ht="6.75" customHeight="1" x14ac:dyDescent="0.25">
      <c r="A2" s="90"/>
      <c r="B2" s="89"/>
      <c r="C2" s="90"/>
      <c r="D2" s="89"/>
      <c r="E2" s="90"/>
      <c r="F2" s="89"/>
      <c r="G2" s="89"/>
    </row>
    <row r="3" spans="1:7" x14ac:dyDescent="0.25">
      <c r="A3" s="4" t="s">
        <v>28</v>
      </c>
      <c r="B3" s="93" t="s">
        <v>21</v>
      </c>
      <c r="C3" s="93" t="s">
        <v>22</v>
      </c>
      <c r="D3" s="93" t="s">
        <v>23</v>
      </c>
      <c r="E3" s="93" t="s">
        <v>25</v>
      </c>
      <c r="F3" s="93" t="s">
        <v>24</v>
      </c>
      <c r="G3" s="93" t="s">
        <v>78</v>
      </c>
    </row>
    <row r="4" spans="1:7" ht="4.5" customHeight="1" x14ac:dyDescent="0.25">
      <c r="A4" s="4"/>
      <c r="B4" s="90"/>
      <c r="C4" s="90"/>
      <c r="D4" s="90"/>
      <c r="E4" s="90"/>
      <c r="F4" s="90"/>
      <c r="G4" s="90"/>
    </row>
    <row r="5" spans="1:7" x14ac:dyDescent="0.25">
      <c r="A5" s="90">
        <v>1</v>
      </c>
      <c r="B5" s="153" t="s">
        <v>127</v>
      </c>
      <c r="C5" s="153" t="s">
        <v>31</v>
      </c>
      <c r="D5" s="153">
        <v>70</v>
      </c>
      <c r="E5" s="153">
        <v>8.0500000000000007</v>
      </c>
      <c r="F5" s="153">
        <v>7.5</v>
      </c>
      <c r="G5" s="154">
        <v>811799</v>
      </c>
    </row>
    <row r="6" spans="1:7" x14ac:dyDescent="0.25">
      <c r="A6" s="90">
        <f>IF(B6&lt;&gt;"",A5+1,"")</f>
        <v>2</v>
      </c>
      <c r="B6" s="153" t="s">
        <v>128</v>
      </c>
      <c r="C6" s="153" t="s">
        <v>31</v>
      </c>
      <c r="D6" s="153">
        <v>150</v>
      </c>
      <c r="E6" s="153">
        <v>12.73</v>
      </c>
      <c r="F6" s="153">
        <v>7.5</v>
      </c>
      <c r="G6" s="154">
        <v>960222</v>
      </c>
    </row>
    <row r="7" spans="1:7" x14ac:dyDescent="0.25">
      <c r="A7" s="90">
        <f t="shared" ref="A7:A70" si="0">IF(B7&lt;&gt;"",A6+1,"")</f>
        <v>3</v>
      </c>
      <c r="B7" s="153" t="s">
        <v>129</v>
      </c>
      <c r="C7" s="153" t="s">
        <v>31</v>
      </c>
      <c r="D7" s="153">
        <v>250</v>
      </c>
      <c r="E7" s="153">
        <v>18.7</v>
      </c>
      <c r="F7" s="153">
        <v>7.5</v>
      </c>
      <c r="G7" s="154">
        <v>1058967</v>
      </c>
    </row>
    <row r="8" spans="1:7" x14ac:dyDescent="0.25">
      <c r="A8" s="90">
        <f t="shared" si="0"/>
        <v>4</v>
      </c>
      <c r="B8" s="153" t="s">
        <v>130</v>
      </c>
      <c r="C8" s="153" t="s">
        <v>31</v>
      </c>
      <c r="D8" s="153">
        <v>400</v>
      </c>
      <c r="E8" s="153">
        <v>40</v>
      </c>
      <c r="F8" s="153">
        <v>7.5</v>
      </c>
      <c r="G8" s="154">
        <v>1099721</v>
      </c>
    </row>
    <row r="9" spans="1:7" x14ac:dyDescent="0.25">
      <c r="A9" s="90">
        <f t="shared" si="0"/>
        <v>5</v>
      </c>
      <c r="B9" s="153" t="s">
        <v>131</v>
      </c>
      <c r="C9" s="153" t="s">
        <v>216</v>
      </c>
      <c r="D9" s="153">
        <v>70</v>
      </c>
      <c r="E9" s="153">
        <v>8.0500000000000007</v>
      </c>
      <c r="F9" s="153">
        <v>7.5</v>
      </c>
      <c r="G9" s="154">
        <v>781135</v>
      </c>
    </row>
    <row r="10" spans="1:7" x14ac:dyDescent="0.25">
      <c r="A10" s="90">
        <f t="shared" si="0"/>
        <v>6</v>
      </c>
      <c r="B10" s="153" t="s">
        <v>132</v>
      </c>
      <c r="C10" s="153" t="s">
        <v>216</v>
      </c>
      <c r="D10" s="153">
        <v>150</v>
      </c>
      <c r="E10" s="153">
        <v>12.73</v>
      </c>
      <c r="F10" s="153">
        <v>7.5</v>
      </c>
      <c r="G10" s="154">
        <v>934322</v>
      </c>
    </row>
    <row r="11" spans="1:7" x14ac:dyDescent="0.25">
      <c r="A11" s="90">
        <f t="shared" si="0"/>
        <v>7</v>
      </c>
      <c r="B11" s="153" t="s">
        <v>133</v>
      </c>
      <c r="C11" s="153" t="s">
        <v>216</v>
      </c>
      <c r="D11" s="153">
        <v>250</v>
      </c>
      <c r="E11" s="153">
        <v>18.7</v>
      </c>
      <c r="F11" s="153">
        <v>7.5</v>
      </c>
      <c r="G11" s="154">
        <v>1059544</v>
      </c>
    </row>
    <row r="12" spans="1:7" x14ac:dyDescent="0.25">
      <c r="A12" s="90">
        <f t="shared" si="0"/>
        <v>8</v>
      </c>
      <c r="B12" s="153" t="s">
        <v>134</v>
      </c>
      <c r="C12" s="153" t="s">
        <v>216</v>
      </c>
      <c r="D12" s="153">
        <v>400</v>
      </c>
      <c r="E12" s="153">
        <v>40</v>
      </c>
      <c r="F12" s="153">
        <v>7.5</v>
      </c>
      <c r="G12" s="154">
        <v>1057163</v>
      </c>
    </row>
    <row r="13" spans="1:7" x14ac:dyDescent="0.25">
      <c r="A13" s="90">
        <f t="shared" si="0"/>
        <v>9</v>
      </c>
      <c r="B13" s="153" t="s">
        <v>135</v>
      </c>
      <c r="C13" s="153" t="s">
        <v>68</v>
      </c>
      <c r="D13" s="153">
        <v>35</v>
      </c>
      <c r="E13" s="153">
        <v>6.3</v>
      </c>
      <c r="F13" s="153">
        <v>17.5</v>
      </c>
      <c r="G13" s="154">
        <v>1219123</v>
      </c>
    </row>
    <row r="14" spans="1:7" x14ac:dyDescent="0.25">
      <c r="A14" s="90">
        <f t="shared" si="0"/>
        <v>10</v>
      </c>
      <c r="B14" s="153" t="s">
        <v>136</v>
      </c>
      <c r="C14" s="153" t="s">
        <v>68</v>
      </c>
      <c r="D14" s="153">
        <v>60</v>
      </c>
      <c r="E14" s="153">
        <v>5</v>
      </c>
      <c r="F14" s="153">
        <v>17.5</v>
      </c>
      <c r="G14" s="154">
        <v>1342663</v>
      </c>
    </row>
    <row r="15" spans="1:7" x14ac:dyDescent="0.25">
      <c r="A15" s="90">
        <f t="shared" si="0"/>
        <v>11</v>
      </c>
      <c r="B15" s="153" t="s">
        <v>137</v>
      </c>
      <c r="C15" s="153" t="s">
        <v>68</v>
      </c>
      <c r="D15" s="153">
        <v>90</v>
      </c>
      <c r="E15" s="153">
        <v>5</v>
      </c>
      <c r="F15" s="153">
        <v>17.5</v>
      </c>
      <c r="G15" s="154">
        <v>1510692</v>
      </c>
    </row>
    <row r="16" spans="1:7" x14ac:dyDescent="0.25">
      <c r="A16" s="90">
        <f t="shared" si="0"/>
        <v>12</v>
      </c>
      <c r="B16" s="153" t="s">
        <v>138</v>
      </c>
      <c r="C16" s="153" t="s">
        <v>68</v>
      </c>
      <c r="D16" s="153">
        <v>120</v>
      </c>
      <c r="E16" s="153">
        <v>5</v>
      </c>
      <c r="F16" s="153">
        <v>17.5</v>
      </c>
      <c r="G16" s="154">
        <v>1622711</v>
      </c>
    </row>
    <row r="17" spans="1:7" x14ac:dyDescent="0.25">
      <c r="A17" s="90">
        <f t="shared" si="0"/>
        <v>13</v>
      </c>
      <c r="B17" s="153" t="s">
        <v>139</v>
      </c>
      <c r="C17" s="153" t="s">
        <v>68</v>
      </c>
      <c r="D17" s="153">
        <v>150</v>
      </c>
      <c r="E17" s="153">
        <v>5</v>
      </c>
      <c r="F17" s="153">
        <v>17.5</v>
      </c>
      <c r="G17" s="154">
        <v>1828076</v>
      </c>
    </row>
    <row r="18" spans="1:7" x14ac:dyDescent="0.25">
      <c r="A18" s="90">
        <f t="shared" si="0"/>
        <v>14</v>
      </c>
      <c r="B18" s="153" t="s">
        <v>140</v>
      </c>
      <c r="C18" s="153" t="s">
        <v>68</v>
      </c>
      <c r="D18" s="153">
        <v>180</v>
      </c>
      <c r="E18" s="153">
        <v>5</v>
      </c>
      <c r="F18" s="153">
        <v>17.5</v>
      </c>
      <c r="G18" s="154">
        <v>1996104</v>
      </c>
    </row>
    <row r="19" spans="1:7" x14ac:dyDescent="0.25">
      <c r="A19" s="90">
        <f t="shared" si="0"/>
        <v>15</v>
      </c>
      <c r="B19" s="153" t="s">
        <v>141</v>
      </c>
      <c r="C19" s="153" t="s">
        <v>68</v>
      </c>
      <c r="D19" s="153">
        <v>200</v>
      </c>
      <c r="E19" s="153">
        <v>5</v>
      </c>
      <c r="F19" s="153">
        <v>17.5</v>
      </c>
      <c r="G19" s="154">
        <v>2189597</v>
      </c>
    </row>
    <row r="20" spans="1:7" x14ac:dyDescent="0.25">
      <c r="A20" s="90">
        <f t="shared" si="0"/>
        <v>16</v>
      </c>
      <c r="B20" s="153" t="s">
        <v>243</v>
      </c>
      <c r="C20" s="153" t="s">
        <v>68</v>
      </c>
      <c r="D20" s="153">
        <v>70</v>
      </c>
      <c r="E20" s="153">
        <v>0</v>
      </c>
      <c r="F20" s="153">
        <v>17.5</v>
      </c>
      <c r="G20" s="154">
        <v>1186883</v>
      </c>
    </row>
    <row r="21" spans="1:7" x14ac:dyDescent="0.25">
      <c r="A21" s="90">
        <f t="shared" si="0"/>
        <v>17</v>
      </c>
      <c r="B21" s="153" t="s">
        <v>246</v>
      </c>
      <c r="C21" s="153" t="s">
        <v>68</v>
      </c>
      <c r="D21" s="153">
        <v>58</v>
      </c>
      <c r="E21" s="153">
        <v>4</v>
      </c>
      <c r="F21" s="153">
        <v>17.5</v>
      </c>
      <c r="G21" s="154">
        <v>1186800</v>
      </c>
    </row>
    <row r="22" spans="1:7" x14ac:dyDescent="0.25">
      <c r="A22" s="90" t="str">
        <f t="shared" si="0"/>
        <v/>
      </c>
      <c r="B22" s="153"/>
      <c r="C22" s="153"/>
      <c r="D22" s="153"/>
      <c r="E22" s="153"/>
      <c r="F22" s="153"/>
      <c r="G22" s="154"/>
    </row>
    <row r="23" spans="1:7" x14ac:dyDescent="0.25">
      <c r="A23" s="90" t="str">
        <f t="shared" si="0"/>
        <v/>
      </c>
      <c r="B23" s="153"/>
      <c r="C23" s="153"/>
      <c r="D23" s="153"/>
      <c r="E23" s="153"/>
      <c r="F23" s="153"/>
      <c r="G23" s="154"/>
    </row>
    <row r="24" spans="1:7" x14ac:dyDescent="0.25">
      <c r="A24" s="90" t="str">
        <f t="shared" si="0"/>
        <v/>
      </c>
      <c r="B24" s="153"/>
      <c r="C24" s="153"/>
      <c r="D24" s="153"/>
      <c r="E24" s="153"/>
      <c r="F24" s="153"/>
      <c r="G24" s="154"/>
    </row>
    <row r="25" spans="1:7" x14ac:dyDescent="0.25">
      <c r="A25" s="90" t="str">
        <f t="shared" si="0"/>
        <v/>
      </c>
      <c r="B25" s="153"/>
      <c r="C25" s="153"/>
      <c r="D25" s="153"/>
      <c r="E25" s="153"/>
      <c r="F25" s="153"/>
      <c r="G25" s="154"/>
    </row>
    <row r="26" spans="1:7" x14ac:dyDescent="0.25">
      <c r="A26" s="90" t="str">
        <f t="shared" si="0"/>
        <v/>
      </c>
      <c r="B26" s="153"/>
      <c r="C26" s="153"/>
      <c r="D26" s="153"/>
      <c r="E26" s="153"/>
      <c r="F26" s="153"/>
      <c r="G26" s="154"/>
    </row>
    <row r="27" spans="1:7" x14ac:dyDescent="0.25">
      <c r="A27" s="90" t="str">
        <f t="shared" si="0"/>
        <v/>
      </c>
      <c r="B27" s="153"/>
      <c r="C27" s="153"/>
      <c r="D27" s="153"/>
      <c r="E27" s="153"/>
      <c r="F27" s="153"/>
      <c r="G27" s="154"/>
    </row>
    <row r="28" spans="1:7" x14ac:dyDescent="0.25">
      <c r="A28" s="90" t="str">
        <f t="shared" si="0"/>
        <v/>
      </c>
      <c r="B28" s="153"/>
      <c r="C28" s="153"/>
      <c r="D28" s="153"/>
      <c r="E28" s="153"/>
      <c r="F28" s="153"/>
      <c r="G28" s="154"/>
    </row>
    <row r="29" spans="1:7" x14ac:dyDescent="0.25">
      <c r="A29" s="90" t="str">
        <f t="shared" si="0"/>
        <v/>
      </c>
      <c r="B29" s="153"/>
      <c r="C29" s="153"/>
      <c r="D29" s="153"/>
      <c r="E29" s="153"/>
      <c r="F29" s="153"/>
      <c r="G29" s="154"/>
    </row>
    <row r="30" spans="1:7" x14ac:dyDescent="0.25">
      <c r="A30" s="90" t="str">
        <f t="shared" si="0"/>
        <v/>
      </c>
      <c r="B30" s="153"/>
      <c r="C30" s="153"/>
      <c r="D30" s="153"/>
      <c r="E30" s="153"/>
      <c r="F30" s="153"/>
      <c r="G30" s="154"/>
    </row>
    <row r="31" spans="1:7" x14ac:dyDescent="0.25">
      <c r="A31" s="90" t="str">
        <f t="shared" si="0"/>
        <v/>
      </c>
      <c r="B31" s="153"/>
      <c r="C31" s="153"/>
      <c r="D31" s="153"/>
      <c r="E31" s="153"/>
      <c r="F31" s="153"/>
      <c r="G31" s="154"/>
    </row>
    <row r="32" spans="1:7" x14ac:dyDescent="0.25">
      <c r="A32" s="90" t="str">
        <f t="shared" si="0"/>
        <v/>
      </c>
      <c r="B32" s="153"/>
      <c r="C32" s="153"/>
      <c r="D32" s="153"/>
      <c r="E32" s="153"/>
      <c r="F32" s="153"/>
      <c r="G32" s="154"/>
    </row>
    <row r="33" spans="1:7" x14ac:dyDescent="0.25">
      <c r="A33" s="90" t="str">
        <f t="shared" si="0"/>
        <v/>
      </c>
      <c r="B33" s="153"/>
      <c r="C33" s="153"/>
      <c r="D33" s="153"/>
      <c r="E33" s="153"/>
      <c r="F33" s="153"/>
      <c r="G33" s="154"/>
    </row>
    <row r="34" spans="1:7" x14ac:dyDescent="0.25">
      <c r="A34" s="90" t="str">
        <f t="shared" si="0"/>
        <v/>
      </c>
      <c r="B34" s="153"/>
      <c r="C34" s="153"/>
      <c r="D34" s="153"/>
      <c r="E34" s="153"/>
      <c r="F34" s="153"/>
      <c r="G34" s="154"/>
    </row>
    <row r="35" spans="1:7" x14ac:dyDescent="0.25">
      <c r="A35" s="90" t="str">
        <f t="shared" si="0"/>
        <v/>
      </c>
      <c r="B35" s="153"/>
      <c r="C35" s="153"/>
      <c r="D35" s="153"/>
      <c r="E35" s="153"/>
      <c r="F35" s="153"/>
      <c r="G35" s="154"/>
    </row>
    <row r="36" spans="1:7" x14ac:dyDescent="0.25">
      <c r="A36" s="90" t="str">
        <f t="shared" si="0"/>
        <v/>
      </c>
      <c r="B36" s="153"/>
      <c r="C36" s="153"/>
      <c r="D36" s="153"/>
      <c r="E36" s="153"/>
      <c r="F36" s="153"/>
      <c r="G36" s="154"/>
    </row>
    <row r="37" spans="1:7" x14ac:dyDescent="0.25">
      <c r="A37" s="90" t="str">
        <f t="shared" si="0"/>
        <v/>
      </c>
      <c r="B37" s="153"/>
      <c r="C37" s="153"/>
      <c r="D37" s="153"/>
      <c r="E37" s="153"/>
      <c r="F37" s="153"/>
      <c r="G37" s="154"/>
    </row>
    <row r="38" spans="1:7" x14ac:dyDescent="0.25">
      <c r="A38" s="90" t="str">
        <f t="shared" si="0"/>
        <v/>
      </c>
      <c r="B38" s="153"/>
      <c r="C38" s="153"/>
      <c r="D38" s="153"/>
      <c r="E38" s="153"/>
      <c r="F38" s="153"/>
      <c r="G38" s="154"/>
    </row>
    <row r="39" spans="1:7" x14ac:dyDescent="0.25">
      <c r="A39" s="90" t="str">
        <f t="shared" si="0"/>
        <v/>
      </c>
      <c r="B39" s="153"/>
      <c r="C39" s="153"/>
      <c r="D39" s="153"/>
      <c r="E39" s="153"/>
      <c r="F39" s="153"/>
      <c r="G39" s="154"/>
    </row>
    <row r="40" spans="1:7" x14ac:dyDescent="0.25">
      <c r="A40" s="90" t="str">
        <f t="shared" si="0"/>
        <v/>
      </c>
      <c r="B40" s="153"/>
      <c r="C40" s="153"/>
      <c r="D40" s="153"/>
      <c r="E40" s="153"/>
      <c r="F40" s="153"/>
      <c r="G40" s="154"/>
    </row>
    <row r="41" spans="1:7" x14ac:dyDescent="0.25">
      <c r="A41" s="90" t="str">
        <f t="shared" si="0"/>
        <v/>
      </c>
      <c r="B41" s="153"/>
      <c r="C41" s="153"/>
      <c r="D41" s="153"/>
      <c r="E41" s="153"/>
      <c r="F41" s="153"/>
      <c r="G41" s="154"/>
    </row>
    <row r="42" spans="1:7" x14ac:dyDescent="0.25">
      <c r="A42" s="90" t="str">
        <f t="shared" si="0"/>
        <v/>
      </c>
      <c r="B42" s="153"/>
      <c r="C42" s="153"/>
      <c r="D42" s="153"/>
      <c r="E42" s="153"/>
      <c r="F42" s="153"/>
      <c r="G42" s="154"/>
    </row>
    <row r="43" spans="1:7" x14ac:dyDescent="0.25">
      <c r="A43" s="90" t="str">
        <f t="shared" si="0"/>
        <v/>
      </c>
      <c r="B43" s="153"/>
      <c r="C43" s="153"/>
      <c r="D43" s="153"/>
      <c r="E43" s="153"/>
      <c r="F43" s="153"/>
      <c r="G43" s="154"/>
    </row>
    <row r="44" spans="1:7" x14ac:dyDescent="0.25">
      <c r="A44" s="90" t="str">
        <f t="shared" si="0"/>
        <v/>
      </c>
      <c r="B44" s="153"/>
      <c r="C44" s="153"/>
      <c r="D44" s="153"/>
      <c r="E44" s="153"/>
      <c r="F44" s="153"/>
      <c r="G44" s="154"/>
    </row>
    <row r="45" spans="1:7" x14ac:dyDescent="0.25">
      <c r="A45" s="90" t="str">
        <f t="shared" si="0"/>
        <v/>
      </c>
      <c r="B45" s="153"/>
      <c r="C45" s="153"/>
      <c r="D45" s="153"/>
      <c r="E45" s="153"/>
      <c r="F45" s="153"/>
      <c r="G45" s="154"/>
    </row>
    <row r="46" spans="1:7" x14ac:dyDescent="0.25">
      <c r="A46" s="90" t="str">
        <f t="shared" si="0"/>
        <v/>
      </c>
      <c r="B46" s="153"/>
      <c r="C46" s="153"/>
      <c r="D46" s="153"/>
      <c r="E46" s="153"/>
      <c r="F46" s="153"/>
      <c r="G46" s="154"/>
    </row>
    <row r="47" spans="1:7" x14ac:dyDescent="0.25">
      <c r="A47" s="90" t="str">
        <f t="shared" si="0"/>
        <v/>
      </c>
      <c r="B47" s="153"/>
      <c r="C47" s="153"/>
      <c r="D47" s="153"/>
      <c r="E47" s="153"/>
      <c r="F47" s="153"/>
      <c r="G47" s="154"/>
    </row>
    <row r="48" spans="1:7" x14ac:dyDescent="0.25">
      <c r="A48" s="90" t="str">
        <f t="shared" si="0"/>
        <v/>
      </c>
      <c r="B48" s="153"/>
      <c r="C48" s="153"/>
      <c r="D48" s="153"/>
      <c r="E48" s="153"/>
      <c r="F48" s="153"/>
      <c r="G48" s="154"/>
    </row>
    <row r="49" spans="1:7" x14ac:dyDescent="0.25">
      <c r="A49" s="90" t="str">
        <f t="shared" si="0"/>
        <v/>
      </c>
      <c r="B49" s="153"/>
      <c r="C49" s="153"/>
      <c r="D49" s="153"/>
      <c r="E49" s="153"/>
      <c r="F49" s="153"/>
      <c r="G49" s="154"/>
    </row>
    <row r="50" spans="1:7" x14ac:dyDescent="0.25">
      <c r="A50" s="90" t="str">
        <f t="shared" si="0"/>
        <v/>
      </c>
      <c r="B50" s="153"/>
      <c r="C50" s="153"/>
      <c r="D50" s="153"/>
      <c r="E50" s="153"/>
      <c r="F50" s="153"/>
      <c r="G50" s="154"/>
    </row>
    <row r="51" spans="1:7" x14ac:dyDescent="0.25">
      <c r="A51" s="90" t="str">
        <f t="shared" si="0"/>
        <v/>
      </c>
      <c r="B51" s="153"/>
      <c r="C51" s="153"/>
      <c r="D51" s="153"/>
      <c r="E51" s="153"/>
      <c r="F51" s="153"/>
      <c r="G51" s="154"/>
    </row>
    <row r="52" spans="1:7" x14ac:dyDescent="0.25">
      <c r="A52" s="90" t="str">
        <f t="shared" si="0"/>
        <v/>
      </c>
      <c r="B52" s="153"/>
      <c r="C52" s="153"/>
      <c r="D52" s="153"/>
      <c r="E52" s="153"/>
      <c r="F52" s="153"/>
      <c r="G52" s="154"/>
    </row>
    <row r="53" spans="1:7" x14ac:dyDescent="0.25">
      <c r="A53" s="90" t="str">
        <f t="shared" si="0"/>
        <v/>
      </c>
      <c r="B53" s="153"/>
      <c r="C53" s="153"/>
      <c r="D53" s="153"/>
      <c r="E53" s="153"/>
      <c r="F53" s="153"/>
      <c r="G53" s="154"/>
    </row>
    <row r="54" spans="1:7" x14ac:dyDescent="0.25">
      <c r="A54" s="90" t="str">
        <f t="shared" si="0"/>
        <v/>
      </c>
      <c r="B54" s="153"/>
      <c r="C54" s="153"/>
      <c r="D54" s="153"/>
      <c r="E54" s="153"/>
      <c r="F54" s="153"/>
      <c r="G54" s="154"/>
    </row>
    <row r="55" spans="1:7" x14ac:dyDescent="0.25">
      <c r="A55" s="90" t="str">
        <f t="shared" si="0"/>
        <v/>
      </c>
      <c r="B55" s="153"/>
      <c r="C55" s="153"/>
      <c r="D55" s="153"/>
      <c r="E55" s="153"/>
      <c r="F55" s="153"/>
      <c r="G55" s="154"/>
    </row>
    <row r="56" spans="1:7" x14ac:dyDescent="0.25">
      <c r="A56" s="90" t="str">
        <f t="shared" si="0"/>
        <v/>
      </c>
      <c r="B56" s="153"/>
      <c r="C56" s="153"/>
      <c r="D56" s="153"/>
      <c r="E56" s="153"/>
      <c r="F56" s="153"/>
      <c r="G56" s="154"/>
    </row>
    <row r="57" spans="1:7" x14ac:dyDescent="0.25">
      <c r="A57" s="90" t="str">
        <f t="shared" si="0"/>
        <v/>
      </c>
      <c r="B57" s="153"/>
      <c r="C57" s="153"/>
      <c r="D57" s="153"/>
      <c r="E57" s="153"/>
      <c r="F57" s="153"/>
      <c r="G57" s="154"/>
    </row>
    <row r="58" spans="1:7" x14ac:dyDescent="0.25">
      <c r="A58" s="90" t="str">
        <f t="shared" si="0"/>
        <v/>
      </c>
      <c r="B58" s="153"/>
      <c r="C58" s="153"/>
      <c r="D58" s="153"/>
      <c r="E58" s="153"/>
      <c r="F58" s="153"/>
      <c r="G58" s="154"/>
    </row>
    <row r="59" spans="1:7" x14ac:dyDescent="0.25">
      <c r="A59" s="90" t="str">
        <f t="shared" si="0"/>
        <v/>
      </c>
      <c r="B59" s="153"/>
      <c r="C59" s="153"/>
      <c r="D59" s="153"/>
      <c r="E59" s="153"/>
      <c r="F59" s="153"/>
      <c r="G59" s="154"/>
    </row>
    <row r="60" spans="1:7" x14ac:dyDescent="0.25">
      <c r="A60" s="90" t="str">
        <f t="shared" si="0"/>
        <v/>
      </c>
      <c r="B60" s="153"/>
      <c r="C60" s="153"/>
      <c r="D60" s="153"/>
      <c r="E60" s="153"/>
      <c r="F60" s="153"/>
      <c r="G60" s="154"/>
    </row>
    <row r="61" spans="1:7" x14ac:dyDescent="0.25">
      <c r="A61" s="90" t="str">
        <f t="shared" si="0"/>
        <v/>
      </c>
      <c r="B61" s="153"/>
      <c r="C61" s="153"/>
      <c r="D61" s="153"/>
      <c r="E61" s="153"/>
      <c r="F61" s="153"/>
      <c r="G61" s="154"/>
    </row>
    <row r="62" spans="1:7" x14ac:dyDescent="0.25">
      <c r="A62" s="90" t="str">
        <f t="shared" si="0"/>
        <v/>
      </c>
      <c r="B62" s="153"/>
      <c r="C62" s="153"/>
      <c r="D62" s="153"/>
      <c r="E62" s="153"/>
      <c r="F62" s="153"/>
      <c r="G62" s="154"/>
    </row>
    <row r="63" spans="1:7" x14ac:dyDescent="0.25">
      <c r="A63" s="90" t="str">
        <f t="shared" si="0"/>
        <v/>
      </c>
      <c r="B63" s="153"/>
      <c r="C63" s="153"/>
      <c r="D63" s="153"/>
      <c r="E63" s="153"/>
      <c r="F63" s="153"/>
      <c r="G63" s="154"/>
    </row>
    <row r="64" spans="1:7" x14ac:dyDescent="0.25">
      <c r="A64" s="90" t="str">
        <f t="shared" si="0"/>
        <v/>
      </c>
      <c r="B64" s="153"/>
      <c r="C64" s="153"/>
      <c r="D64" s="153"/>
      <c r="E64" s="153"/>
      <c r="F64" s="153"/>
      <c r="G64" s="154"/>
    </row>
    <row r="65" spans="1:7" x14ac:dyDescent="0.25">
      <c r="A65" s="90" t="str">
        <f t="shared" si="0"/>
        <v/>
      </c>
      <c r="B65" s="153"/>
      <c r="C65" s="153"/>
      <c r="D65" s="153"/>
      <c r="E65" s="153"/>
      <c r="F65" s="153"/>
      <c r="G65" s="154"/>
    </row>
    <row r="66" spans="1:7" x14ac:dyDescent="0.25">
      <c r="A66" s="90" t="str">
        <f t="shared" si="0"/>
        <v/>
      </c>
      <c r="B66" s="153"/>
      <c r="C66" s="153"/>
      <c r="D66" s="153"/>
      <c r="E66" s="153"/>
      <c r="F66" s="153"/>
      <c r="G66" s="154"/>
    </row>
    <row r="67" spans="1:7" x14ac:dyDescent="0.25">
      <c r="A67" s="90" t="str">
        <f t="shared" si="0"/>
        <v/>
      </c>
      <c r="B67" s="153"/>
      <c r="C67" s="153"/>
      <c r="D67" s="153"/>
      <c r="E67" s="153"/>
      <c r="F67" s="153"/>
      <c r="G67" s="154"/>
    </row>
    <row r="68" spans="1:7" x14ac:dyDescent="0.25">
      <c r="A68" s="90" t="str">
        <f t="shared" si="0"/>
        <v/>
      </c>
      <c r="B68" s="153"/>
      <c r="C68" s="153"/>
      <c r="D68" s="153"/>
      <c r="E68" s="153"/>
      <c r="F68" s="153"/>
      <c r="G68" s="154"/>
    </row>
    <row r="69" spans="1:7" x14ac:dyDescent="0.25">
      <c r="A69" s="90" t="str">
        <f t="shared" si="0"/>
        <v/>
      </c>
      <c r="B69" s="153"/>
      <c r="C69" s="153"/>
      <c r="D69" s="153"/>
      <c r="E69" s="153"/>
      <c r="F69" s="153"/>
      <c r="G69" s="154"/>
    </row>
    <row r="70" spans="1:7" x14ac:dyDescent="0.25">
      <c r="A70" s="90" t="str">
        <f t="shared" si="0"/>
        <v/>
      </c>
      <c r="B70" s="153"/>
      <c r="C70" s="153"/>
      <c r="D70" s="153"/>
      <c r="E70" s="153"/>
      <c r="F70" s="153"/>
      <c r="G70" s="154"/>
    </row>
    <row r="71" spans="1:7" x14ac:dyDescent="0.25">
      <c r="A71" s="90" t="str">
        <f t="shared" ref="A71:A134" si="1">IF(B71&lt;&gt;"",A70+1,"")</f>
        <v/>
      </c>
      <c r="B71" s="153"/>
      <c r="C71" s="153"/>
      <c r="D71" s="153"/>
      <c r="E71" s="153"/>
      <c r="F71" s="153"/>
      <c r="G71" s="154"/>
    </row>
    <row r="72" spans="1:7" x14ac:dyDescent="0.25">
      <c r="A72" s="90" t="str">
        <f t="shared" si="1"/>
        <v/>
      </c>
      <c r="B72" s="153"/>
      <c r="C72" s="153"/>
      <c r="D72" s="153"/>
      <c r="E72" s="153"/>
      <c r="F72" s="153"/>
      <c r="G72" s="154"/>
    </row>
    <row r="73" spans="1:7" x14ac:dyDescent="0.25">
      <c r="A73" s="90" t="str">
        <f t="shared" si="1"/>
        <v/>
      </c>
      <c r="B73" s="153"/>
      <c r="C73" s="153"/>
      <c r="D73" s="153"/>
      <c r="E73" s="153"/>
      <c r="F73" s="153"/>
      <c r="G73" s="154"/>
    </row>
    <row r="74" spans="1:7" x14ac:dyDescent="0.25">
      <c r="A74" s="90" t="str">
        <f t="shared" si="1"/>
        <v/>
      </c>
      <c r="B74" s="153"/>
      <c r="C74" s="153"/>
      <c r="D74" s="153"/>
      <c r="E74" s="153"/>
      <c r="F74" s="153"/>
      <c r="G74" s="154"/>
    </row>
    <row r="75" spans="1:7" x14ac:dyDescent="0.25">
      <c r="A75" s="90" t="str">
        <f t="shared" si="1"/>
        <v/>
      </c>
      <c r="B75" s="153"/>
      <c r="C75" s="153"/>
      <c r="D75" s="153"/>
      <c r="E75" s="153"/>
      <c r="F75" s="153"/>
      <c r="G75" s="154"/>
    </row>
    <row r="76" spans="1:7" x14ac:dyDescent="0.25">
      <c r="A76" s="90" t="str">
        <f t="shared" si="1"/>
        <v/>
      </c>
      <c r="B76" s="153"/>
      <c r="C76" s="153"/>
      <c r="D76" s="153"/>
      <c r="E76" s="153"/>
      <c r="F76" s="153"/>
      <c r="G76" s="154"/>
    </row>
    <row r="77" spans="1:7" x14ac:dyDescent="0.25">
      <c r="A77" s="90" t="str">
        <f t="shared" si="1"/>
        <v/>
      </c>
      <c r="B77" s="153"/>
      <c r="C77" s="153"/>
      <c r="D77" s="153"/>
      <c r="E77" s="153"/>
      <c r="F77" s="153"/>
      <c r="G77" s="154"/>
    </row>
    <row r="78" spans="1:7" x14ac:dyDescent="0.25">
      <c r="A78" s="90" t="str">
        <f t="shared" si="1"/>
        <v/>
      </c>
      <c r="B78" s="153"/>
      <c r="C78" s="153"/>
      <c r="D78" s="153"/>
      <c r="E78" s="153"/>
      <c r="F78" s="153"/>
      <c r="G78" s="154"/>
    </row>
    <row r="79" spans="1:7" x14ac:dyDescent="0.25">
      <c r="A79" s="90" t="str">
        <f t="shared" si="1"/>
        <v/>
      </c>
      <c r="B79" s="153"/>
      <c r="C79" s="153"/>
      <c r="D79" s="153"/>
      <c r="E79" s="153"/>
      <c r="F79" s="153"/>
      <c r="G79" s="154"/>
    </row>
    <row r="80" spans="1:7" x14ac:dyDescent="0.25">
      <c r="A80" s="90" t="str">
        <f t="shared" si="1"/>
        <v/>
      </c>
      <c r="B80" s="153"/>
      <c r="C80" s="153"/>
      <c r="D80" s="153"/>
      <c r="E80" s="153"/>
      <c r="F80" s="153"/>
      <c r="G80" s="154"/>
    </row>
    <row r="81" spans="1:7" x14ac:dyDescent="0.25">
      <c r="A81" s="90" t="str">
        <f t="shared" si="1"/>
        <v/>
      </c>
      <c r="B81" s="153"/>
      <c r="C81" s="153"/>
      <c r="D81" s="153"/>
      <c r="E81" s="153"/>
      <c r="F81" s="153"/>
      <c r="G81" s="154"/>
    </row>
    <row r="82" spans="1:7" x14ac:dyDescent="0.25">
      <c r="A82" s="90" t="str">
        <f t="shared" si="1"/>
        <v/>
      </c>
      <c r="B82" s="153"/>
      <c r="C82" s="153"/>
      <c r="D82" s="153"/>
      <c r="E82" s="153"/>
      <c r="F82" s="153"/>
      <c r="G82" s="154"/>
    </row>
    <row r="83" spans="1:7" x14ac:dyDescent="0.25">
      <c r="A83" s="90" t="str">
        <f t="shared" si="1"/>
        <v/>
      </c>
      <c r="B83" s="153"/>
      <c r="C83" s="153"/>
      <c r="D83" s="153"/>
      <c r="E83" s="153"/>
      <c r="F83" s="153"/>
      <c r="G83" s="154"/>
    </row>
    <row r="84" spans="1:7" x14ac:dyDescent="0.25">
      <c r="A84" s="90" t="str">
        <f t="shared" si="1"/>
        <v/>
      </c>
      <c r="B84" s="153"/>
      <c r="C84" s="153"/>
      <c r="D84" s="153"/>
      <c r="E84" s="153"/>
      <c r="F84" s="153"/>
      <c r="G84" s="154"/>
    </row>
    <row r="85" spans="1:7" x14ac:dyDescent="0.25">
      <c r="A85" s="90" t="str">
        <f t="shared" si="1"/>
        <v/>
      </c>
      <c r="B85" s="153"/>
      <c r="C85" s="153"/>
      <c r="D85" s="153"/>
      <c r="E85" s="153"/>
      <c r="F85" s="153"/>
      <c r="G85" s="154"/>
    </row>
    <row r="86" spans="1:7" x14ac:dyDescent="0.25">
      <c r="A86" s="90" t="str">
        <f t="shared" si="1"/>
        <v/>
      </c>
      <c r="B86" s="153"/>
      <c r="C86" s="153"/>
      <c r="D86" s="153"/>
      <c r="E86" s="153"/>
      <c r="F86" s="153"/>
      <c r="G86" s="154"/>
    </row>
    <row r="87" spans="1:7" x14ac:dyDescent="0.25">
      <c r="A87" s="90" t="str">
        <f t="shared" si="1"/>
        <v/>
      </c>
      <c r="B87" s="153"/>
      <c r="C87" s="153"/>
      <c r="D87" s="153"/>
      <c r="E87" s="153"/>
      <c r="F87" s="153"/>
      <c r="G87" s="154"/>
    </row>
    <row r="88" spans="1:7" x14ac:dyDescent="0.25">
      <c r="A88" s="90" t="str">
        <f t="shared" si="1"/>
        <v/>
      </c>
      <c r="B88" s="153"/>
      <c r="C88" s="153"/>
      <c r="D88" s="153"/>
      <c r="E88" s="153"/>
      <c r="F88" s="153"/>
      <c r="G88" s="154"/>
    </row>
    <row r="89" spans="1:7" x14ac:dyDescent="0.25">
      <c r="A89" s="90" t="str">
        <f t="shared" si="1"/>
        <v/>
      </c>
      <c r="B89" s="153"/>
      <c r="C89" s="153"/>
      <c r="D89" s="153"/>
      <c r="E89" s="153"/>
      <c r="F89" s="153"/>
      <c r="G89" s="154"/>
    </row>
    <row r="90" spans="1:7" x14ac:dyDescent="0.25">
      <c r="A90" s="90" t="str">
        <f t="shared" si="1"/>
        <v/>
      </c>
      <c r="B90" s="153"/>
      <c r="C90" s="153"/>
      <c r="D90" s="153"/>
      <c r="E90" s="153"/>
      <c r="F90" s="153"/>
      <c r="G90" s="154"/>
    </row>
    <row r="91" spans="1:7" x14ac:dyDescent="0.25">
      <c r="A91" s="90" t="str">
        <f t="shared" si="1"/>
        <v/>
      </c>
      <c r="B91" s="153"/>
      <c r="C91" s="153"/>
      <c r="D91" s="153"/>
      <c r="E91" s="153"/>
      <c r="F91" s="153"/>
      <c r="G91" s="154"/>
    </row>
    <row r="92" spans="1:7" x14ac:dyDescent="0.25">
      <c r="A92" s="90" t="str">
        <f t="shared" si="1"/>
        <v/>
      </c>
      <c r="B92" s="153"/>
      <c r="C92" s="153"/>
      <c r="D92" s="153"/>
      <c r="E92" s="153"/>
      <c r="F92" s="153"/>
      <c r="G92" s="154"/>
    </row>
    <row r="93" spans="1:7" x14ac:dyDescent="0.25">
      <c r="A93" s="90" t="str">
        <f t="shared" si="1"/>
        <v/>
      </c>
      <c r="B93" s="153"/>
      <c r="C93" s="153"/>
      <c r="D93" s="153"/>
      <c r="E93" s="153"/>
      <c r="F93" s="153"/>
      <c r="G93" s="154"/>
    </row>
    <row r="94" spans="1:7" x14ac:dyDescent="0.25">
      <c r="A94" s="90" t="str">
        <f t="shared" si="1"/>
        <v/>
      </c>
      <c r="B94" s="153"/>
      <c r="C94" s="153"/>
      <c r="D94" s="153"/>
      <c r="E94" s="153"/>
      <c r="F94" s="153"/>
      <c r="G94" s="154"/>
    </row>
    <row r="95" spans="1:7" x14ac:dyDescent="0.25">
      <c r="A95" s="90" t="str">
        <f t="shared" si="1"/>
        <v/>
      </c>
      <c r="B95" s="153"/>
      <c r="C95" s="153"/>
      <c r="D95" s="153"/>
      <c r="E95" s="153"/>
      <c r="F95" s="153"/>
      <c r="G95" s="154"/>
    </row>
    <row r="96" spans="1:7" x14ac:dyDescent="0.25">
      <c r="A96" s="90" t="str">
        <f t="shared" si="1"/>
        <v/>
      </c>
      <c r="B96" s="153"/>
      <c r="C96" s="153"/>
      <c r="D96" s="153"/>
      <c r="E96" s="153"/>
      <c r="F96" s="153"/>
      <c r="G96" s="154"/>
    </row>
    <row r="97" spans="1:7" x14ac:dyDescent="0.25">
      <c r="A97" s="90" t="str">
        <f t="shared" si="1"/>
        <v/>
      </c>
      <c r="B97" s="153"/>
      <c r="C97" s="153"/>
      <c r="D97" s="153"/>
      <c r="E97" s="153"/>
      <c r="F97" s="153"/>
      <c r="G97" s="154"/>
    </row>
    <row r="98" spans="1:7" x14ac:dyDescent="0.25">
      <c r="A98" s="90" t="str">
        <f t="shared" si="1"/>
        <v/>
      </c>
      <c r="B98" s="153"/>
      <c r="C98" s="153"/>
      <c r="D98" s="153"/>
      <c r="E98" s="153"/>
      <c r="F98" s="153"/>
      <c r="G98" s="154"/>
    </row>
    <row r="99" spans="1:7" x14ac:dyDescent="0.25">
      <c r="A99" s="90" t="str">
        <f t="shared" si="1"/>
        <v/>
      </c>
      <c r="B99" s="153"/>
      <c r="C99" s="153"/>
      <c r="D99" s="153"/>
      <c r="E99" s="153"/>
      <c r="F99" s="153"/>
      <c r="G99" s="154"/>
    </row>
    <row r="100" spans="1:7" x14ac:dyDescent="0.25">
      <c r="A100" s="90" t="str">
        <f t="shared" si="1"/>
        <v/>
      </c>
      <c r="B100" s="153"/>
      <c r="C100" s="153"/>
      <c r="D100" s="153"/>
      <c r="E100" s="153"/>
      <c r="F100" s="153"/>
      <c r="G100" s="154"/>
    </row>
    <row r="101" spans="1:7" x14ac:dyDescent="0.25">
      <c r="A101" s="90" t="str">
        <f t="shared" si="1"/>
        <v/>
      </c>
      <c r="B101" s="153"/>
      <c r="C101" s="153"/>
      <c r="D101" s="153"/>
      <c r="E101" s="153"/>
      <c r="F101" s="153"/>
      <c r="G101" s="154"/>
    </row>
    <row r="102" spans="1:7" x14ac:dyDescent="0.25">
      <c r="A102" s="90" t="str">
        <f t="shared" si="1"/>
        <v/>
      </c>
      <c r="B102" s="153"/>
      <c r="C102" s="153"/>
      <c r="D102" s="153"/>
      <c r="E102" s="153"/>
      <c r="F102" s="153"/>
      <c r="G102" s="154"/>
    </row>
    <row r="103" spans="1:7" x14ac:dyDescent="0.25">
      <c r="A103" s="90" t="str">
        <f t="shared" si="1"/>
        <v/>
      </c>
      <c r="B103" s="153"/>
      <c r="C103" s="153"/>
      <c r="D103" s="153"/>
      <c r="E103" s="153"/>
      <c r="F103" s="153"/>
      <c r="G103" s="154"/>
    </row>
    <row r="104" spans="1:7" x14ac:dyDescent="0.25">
      <c r="A104" s="90" t="str">
        <f t="shared" si="1"/>
        <v/>
      </c>
      <c r="B104" s="153"/>
      <c r="C104" s="153"/>
      <c r="D104" s="153"/>
      <c r="E104" s="153"/>
      <c r="F104" s="153"/>
      <c r="G104" s="154"/>
    </row>
    <row r="105" spans="1:7" x14ac:dyDescent="0.25">
      <c r="A105" s="90" t="str">
        <f t="shared" si="1"/>
        <v/>
      </c>
      <c r="B105" s="153"/>
      <c r="C105" s="153"/>
      <c r="D105" s="153"/>
      <c r="E105" s="153"/>
      <c r="F105" s="153"/>
      <c r="G105" s="154"/>
    </row>
    <row r="106" spans="1:7" x14ac:dyDescent="0.25">
      <c r="A106" s="90" t="str">
        <f t="shared" si="1"/>
        <v/>
      </c>
      <c r="B106" s="153"/>
      <c r="C106" s="153"/>
      <c r="D106" s="153"/>
      <c r="E106" s="153"/>
      <c r="F106" s="153"/>
      <c r="G106" s="154"/>
    </row>
    <row r="107" spans="1:7" x14ac:dyDescent="0.25">
      <c r="A107" s="90" t="str">
        <f t="shared" si="1"/>
        <v/>
      </c>
      <c r="B107" s="153"/>
      <c r="C107" s="153"/>
      <c r="D107" s="153"/>
      <c r="E107" s="153"/>
      <c r="F107" s="153"/>
      <c r="G107" s="154"/>
    </row>
    <row r="108" spans="1:7" x14ac:dyDescent="0.25">
      <c r="A108" s="90" t="str">
        <f t="shared" si="1"/>
        <v/>
      </c>
      <c r="B108" s="153"/>
      <c r="C108" s="153"/>
      <c r="D108" s="153"/>
      <c r="E108" s="153"/>
      <c r="F108" s="153"/>
      <c r="G108" s="154"/>
    </row>
    <row r="109" spans="1:7" x14ac:dyDescent="0.25">
      <c r="A109" s="90" t="str">
        <f t="shared" si="1"/>
        <v/>
      </c>
      <c r="B109" s="153"/>
      <c r="C109" s="153"/>
      <c r="D109" s="153"/>
      <c r="E109" s="153"/>
      <c r="F109" s="153"/>
      <c r="G109" s="154"/>
    </row>
    <row r="110" spans="1:7" x14ac:dyDescent="0.25">
      <c r="A110" s="90" t="str">
        <f t="shared" si="1"/>
        <v/>
      </c>
      <c r="B110" s="153"/>
      <c r="C110" s="153"/>
      <c r="D110" s="153"/>
      <c r="E110" s="153"/>
      <c r="F110" s="153"/>
      <c r="G110" s="154"/>
    </row>
    <row r="111" spans="1:7" x14ac:dyDescent="0.25">
      <c r="A111" s="90" t="str">
        <f t="shared" si="1"/>
        <v/>
      </c>
      <c r="B111" s="153"/>
      <c r="C111" s="153"/>
      <c r="D111" s="153"/>
      <c r="E111" s="153"/>
      <c r="F111" s="153"/>
      <c r="G111" s="154"/>
    </row>
    <row r="112" spans="1:7" x14ac:dyDescent="0.25">
      <c r="A112" s="90" t="str">
        <f t="shared" si="1"/>
        <v/>
      </c>
      <c r="B112" s="153"/>
      <c r="C112" s="153"/>
      <c r="D112" s="153"/>
      <c r="E112" s="153"/>
      <c r="F112" s="153"/>
      <c r="G112" s="154"/>
    </row>
    <row r="113" spans="1:7" x14ac:dyDescent="0.25">
      <c r="A113" s="90" t="str">
        <f t="shared" si="1"/>
        <v/>
      </c>
      <c r="B113" s="153"/>
      <c r="C113" s="153"/>
      <c r="D113" s="153"/>
      <c r="E113" s="153"/>
      <c r="F113" s="153"/>
      <c r="G113" s="154"/>
    </row>
    <row r="114" spans="1:7" x14ac:dyDescent="0.25">
      <c r="A114" s="90" t="str">
        <f t="shared" si="1"/>
        <v/>
      </c>
      <c r="B114" s="153"/>
      <c r="C114" s="153"/>
      <c r="D114" s="153"/>
      <c r="E114" s="153"/>
      <c r="F114" s="153"/>
      <c r="G114" s="154"/>
    </row>
    <row r="115" spans="1:7" x14ac:dyDescent="0.25">
      <c r="A115" s="90" t="str">
        <f t="shared" si="1"/>
        <v/>
      </c>
      <c r="B115" s="153"/>
      <c r="C115" s="153"/>
      <c r="D115" s="153"/>
      <c r="E115" s="153"/>
      <c r="F115" s="153"/>
      <c r="G115" s="154"/>
    </row>
    <row r="116" spans="1:7" x14ac:dyDescent="0.25">
      <c r="A116" s="90" t="str">
        <f t="shared" si="1"/>
        <v/>
      </c>
      <c r="B116" s="153"/>
      <c r="C116" s="153"/>
      <c r="D116" s="153"/>
      <c r="E116" s="153"/>
      <c r="F116" s="153"/>
      <c r="G116" s="154"/>
    </row>
    <row r="117" spans="1:7" x14ac:dyDescent="0.25">
      <c r="A117" s="90" t="str">
        <f t="shared" si="1"/>
        <v/>
      </c>
      <c r="B117" s="153"/>
      <c r="C117" s="153"/>
      <c r="D117" s="153"/>
      <c r="E117" s="153"/>
      <c r="F117" s="153"/>
      <c r="G117" s="154"/>
    </row>
    <row r="118" spans="1:7" x14ac:dyDescent="0.25">
      <c r="A118" s="90" t="str">
        <f t="shared" si="1"/>
        <v/>
      </c>
      <c r="B118" s="153"/>
      <c r="C118" s="153"/>
      <c r="D118" s="153"/>
      <c r="E118" s="153"/>
      <c r="F118" s="153"/>
      <c r="G118" s="154"/>
    </row>
    <row r="119" spans="1:7" x14ac:dyDescent="0.25">
      <c r="A119" s="90" t="str">
        <f t="shared" si="1"/>
        <v/>
      </c>
      <c r="B119" s="153"/>
      <c r="C119" s="153"/>
      <c r="D119" s="153"/>
      <c r="E119" s="153"/>
      <c r="F119" s="153"/>
      <c r="G119" s="154"/>
    </row>
    <row r="120" spans="1:7" x14ac:dyDescent="0.25">
      <c r="A120" s="90" t="str">
        <f t="shared" si="1"/>
        <v/>
      </c>
      <c r="B120" s="153"/>
      <c r="C120" s="153"/>
      <c r="D120" s="153"/>
      <c r="E120" s="153"/>
      <c r="F120" s="153"/>
      <c r="G120" s="154"/>
    </row>
    <row r="121" spans="1:7" x14ac:dyDescent="0.25">
      <c r="A121" s="90" t="str">
        <f t="shared" si="1"/>
        <v/>
      </c>
      <c r="B121" s="153"/>
      <c r="C121" s="153"/>
      <c r="D121" s="153"/>
      <c r="E121" s="153"/>
      <c r="F121" s="153"/>
      <c r="G121" s="154"/>
    </row>
    <row r="122" spans="1:7" x14ac:dyDescent="0.25">
      <c r="A122" s="90" t="str">
        <f t="shared" si="1"/>
        <v/>
      </c>
      <c r="B122" s="153"/>
      <c r="C122" s="153"/>
      <c r="D122" s="153"/>
      <c r="E122" s="153"/>
      <c r="F122" s="153"/>
      <c r="G122" s="154"/>
    </row>
    <row r="123" spans="1:7" x14ac:dyDescent="0.25">
      <c r="A123" s="90" t="str">
        <f t="shared" si="1"/>
        <v/>
      </c>
      <c r="B123" s="153"/>
      <c r="C123" s="153"/>
      <c r="D123" s="153"/>
      <c r="E123" s="153"/>
      <c r="F123" s="153"/>
      <c r="G123" s="154"/>
    </row>
    <row r="124" spans="1:7" x14ac:dyDescent="0.25">
      <c r="A124" s="90" t="str">
        <f t="shared" si="1"/>
        <v/>
      </c>
      <c r="B124" s="153"/>
      <c r="C124" s="153"/>
      <c r="D124" s="153"/>
      <c r="E124" s="153"/>
      <c r="F124" s="153"/>
      <c r="G124" s="154"/>
    </row>
    <row r="125" spans="1:7" x14ac:dyDescent="0.25">
      <c r="A125" s="90" t="str">
        <f t="shared" si="1"/>
        <v/>
      </c>
      <c r="B125" s="153"/>
      <c r="C125" s="153"/>
      <c r="D125" s="153"/>
      <c r="E125" s="153"/>
      <c r="F125" s="153"/>
      <c r="G125" s="154"/>
    </row>
    <row r="126" spans="1:7" x14ac:dyDescent="0.25">
      <c r="A126" s="90" t="str">
        <f t="shared" si="1"/>
        <v/>
      </c>
      <c r="B126" s="153"/>
      <c r="C126" s="153"/>
      <c r="D126" s="153"/>
      <c r="E126" s="153"/>
      <c r="F126" s="153"/>
      <c r="G126" s="154"/>
    </row>
    <row r="127" spans="1:7" x14ac:dyDescent="0.25">
      <c r="A127" s="90" t="str">
        <f t="shared" si="1"/>
        <v/>
      </c>
      <c r="B127" s="153"/>
      <c r="C127" s="153"/>
      <c r="D127" s="153"/>
      <c r="E127" s="153"/>
      <c r="F127" s="153"/>
      <c r="G127" s="154"/>
    </row>
    <row r="128" spans="1:7" x14ac:dyDescent="0.25">
      <c r="A128" s="90" t="str">
        <f t="shared" si="1"/>
        <v/>
      </c>
      <c r="B128" s="153"/>
      <c r="C128" s="153"/>
      <c r="D128" s="153"/>
      <c r="E128" s="153"/>
      <c r="F128" s="153"/>
      <c r="G128" s="154"/>
    </row>
    <row r="129" spans="1:7" x14ac:dyDescent="0.25">
      <c r="A129" s="90" t="str">
        <f t="shared" si="1"/>
        <v/>
      </c>
      <c r="B129" s="153"/>
      <c r="C129" s="153"/>
      <c r="D129" s="153"/>
      <c r="E129" s="153"/>
      <c r="F129" s="153"/>
      <c r="G129" s="154"/>
    </row>
    <row r="130" spans="1:7" x14ac:dyDescent="0.25">
      <c r="A130" s="90" t="str">
        <f t="shared" si="1"/>
        <v/>
      </c>
      <c r="B130" s="153"/>
      <c r="C130" s="153"/>
      <c r="D130" s="153"/>
      <c r="E130" s="153"/>
      <c r="F130" s="153"/>
      <c r="G130" s="154"/>
    </row>
    <row r="131" spans="1:7" x14ac:dyDescent="0.25">
      <c r="A131" s="90" t="str">
        <f t="shared" si="1"/>
        <v/>
      </c>
      <c r="B131" s="153"/>
      <c r="C131" s="153"/>
      <c r="D131" s="153"/>
      <c r="E131" s="153"/>
      <c r="F131" s="153"/>
      <c r="G131" s="154"/>
    </row>
    <row r="132" spans="1:7" x14ac:dyDescent="0.25">
      <c r="A132" s="90" t="str">
        <f t="shared" si="1"/>
        <v/>
      </c>
      <c r="B132" s="153"/>
      <c r="C132" s="153"/>
      <c r="D132" s="153"/>
      <c r="E132" s="153"/>
      <c r="F132" s="153"/>
      <c r="G132" s="154"/>
    </row>
    <row r="133" spans="1:7" x14ac:dyDescent="0.25">
      <c r="A133" s="90" t="str">
        <f t="shared" si="1"/>
        <v/>
      </c>
      <c r="B133" s="153"/>
      <c r="C133" s="153"/>
      <c r="D133" s="153"/>
      <c r="E133" s="153"/>
      <c r="F133" s="153"/>
      <c r="G133" s="154"/>
    </row>
    <row r="134" spans="1:7" x14ac:dyDescent="0.25">
      <c r="A134" s="90" t="str">
        <f t="shared" si="1"/>
        <v/>
      </c>
      <c r="B134" s="153"/>
      <c r="C134" s="153"/>
      <c r="D134" s="153"/>
      <c r="E134" s="153"/>
      <c r="F134" s="153"/>
      <c r="G134" s="154"/>
    </row>
    <row r="135" spans="1:7" x14ac:dyDescent="0.25">
      <c r="A135" s="90" t="str">
        <f t="shared" ref="A135:A198" si="2">IF(B135&lt;&gt;"",A134+1,"")</f>
        <v/>
      </c>
      <c r="B135" s="153"/>
      <c r="C135" s="153"/>
      <c r="D135" s="153"/>
      <c r="E135" s="153"/>
      <c r="F135" s="153"/>
      <c r="G135" s="154"/>
    </row>
    <row r="136" spans="1:7" x14ac:dyDescent="0.25">
      <c r="A136" s="90" t="str">
        <f t="shared" si="2"/>
        <v/>
      </c>
      <c r="B136" s="153"/>
      <c r="C136" s="153"/>
      <c r="D136" s="153"/>
      <c r="E136" s="153"/>
      <c r="F136" s="153"/>
      <c r="G136" s="154"/>
    </row>
    <row r="137" spans="1:7" x14ac:dyDescent="0.25">
      <c r="A137" s="90" t="str">
        <f t="shared" si="2"/>
        <v/>
      </c>
      <c r="B137" s="153"/>
      <c r="C137" s="153"/>
      <c r="D137" s="153"/>
      <c r="E137" s="153"/>
      <c r="F137" s="153"/>
      <c r="G137" s="154"/>
    </row>
    <row r="138" spans="1:7" x14ac:dyDescent="0.25">
      <c r="A138" s="90" t="str">
        <f t="shared" si="2"/>
        <v/>
      </c>
      <c r="B138" s="153"/>
      <c r="C138" s="153"/>
      <c r="D138" s="153"/>
      <c r="E138" s="153"/>
      <c r="F138" s="153"/>
      <c r="G138" s="154"/>
    </row>
    <row r="139" spans="1:7" x14ac:dyDescent="0.25">
      <c r="A139" s="90" t="str">
        <f t="shared" si="2"/>
        <v/>
      </c>
      <c r="B139" s="153"/>
      <c r="C139" s="153"/>
      <c r="D139" s="153"/>
      <c r="E139" s="153"/>
      <c r="F139" s="153"/>
      <c r="G139" s="154"/>
    </row>
    <row r="140" spans="1:7" x14ac:dyDescent="0.25">
      <c r="A140" s="90" t="str">
        <f t="shared" si="2"/>
        <v/>
      </c>
      <c r="B140" s="153"/>
      <c r="C140" s="153"/>
      <c r="D140" s="153"/>
      <c r="E140" s="153"/>
      <c r="F140" s="153"/>
      <c r="G140" s="154"/>
    </row>
    <row r="141" spans="1:7" x14ac:dyDescent="0.25">
      <c r="A141" s="90" t="str">
        <f t="shared" si="2"/>
        <v/>
      </c>
      <c r="B141" s="153"/>
      <c r="C141" s="153"/>
      <c r="D141" s="153"/>
      <c r="E141" s="153"/>
      <c r="F141" s="153"/>
      <c r="G141" s="154"/>
    </row>
    <row r="142" spans="1:7" x14ac:dyDescent="0.25">
      <c r="A142" s="90" t="str">
        <f t="shared" si="2"/>
        <v/>
      </c>
      <c r="B142" s="153"/>
      <c r="C142" s="153"/>
      <c r="D142" s="153"/>
      <c r="E142" s="153"/>
      <c r="F142" s="153"/>
      <c r="G142" s="154"/>
    </row>
    <row r="143" spans="1:7" x14ac:dyDescent="0.25">
      <c r="A143" s="90" t="str">
        <f t="shared" si="2"/>
        <v/>
      </c>
      <c r="B143" s="153"/>
      <c r="C143" s="153"/>
      <c r="D143" s="153"/>
      <c r="E143" s="153"/>
      <c r="F143" s="153"/>
      <c r="G143" s="154"/>
    </row>
    <row r="144" spans="1:7" x14ac:dyDescent="0.25">
      <c r="A144" s="90" t="str">
        <f t="shared" si="2"/>
        <v/>
      </c>
      <c r="B144" s="153"/>
      <c r="C144" s="153"/>
      <c r="D144" s="153"/>
      <c r="E144" s="153"/>
      <c r="F144" s="153"/>
      <c r="G144" s="154"/>
    </row>
    <row r="145" spans="1:7" x14ac:dyDescent="0.25">
      <c r="A145" s="90" t="str">
        <f t="shared" si="2"/>
        <v/>
      </c>
      <c r="B145" s="153"/>
      <c r="C145" s="153"/>
      <c r="D145" s="153"/>
      <c r="E145" s="153"/>
      <c r="F145" s="153"/>
      <c r="G145" s="154"/>
    </row>
    <row r="146" spans="1:7" x14ac:dyDescent="0.25">
      <c r="A146" s="90" t="str">
        <f t="shared" si="2"/>
        <v/>
      </c>
      <c r="B146" s="153"/>
      <c r="C146" s="153"/>
      <c r="D146" s="153"/>
      <c r="E146" s="153"/>
      <c r="F146" s="153"/>
      <c r="G146" s="154"/>
    </row>
    <row r="147" spans="1:7" x14ac:dyDescent="0.25">
      <c r="A147" s="90" t="str">
        <f t="shared" si="2"/>
        <v/>
      </c>
      <c r="B147" s="153"/>
      <c r="C147" s="153"/>
      <c r="D147" s="153"/>
      <c r="E147" s="153"/>
      <c r="F147" s="153"/>
      <c r="G147" s="154"/>
    </row>
    <row r="148" spans="1:7" x14ac:dyDescent="0.25">
      <c r="A148" s="90" t="str">
        <f t="shared" si="2"/>
        <v/>
      </c>
      <c r="B148" s="153"/>
      <c r="C148" s="153"/>
      <c r="D148" s="153"/>
      <c r="E148" s="153"/>
      <c r="F148" s="153"/>
      <c r="G148" s="154"/>
    </row>
    <row r="149" spans="1:7" x14ac:dyDescent="0.25">
      <c r="A149" s="90" t="str">
        <f t="shared" si="2"/>
        <v/>
      </c>
      <c r="B149" s="153"/>
      <c r="C149" s="153"/>
      <c r="D149" s="153"/>
      <c r="E149" s="153"/>
      <c r="F149" s="153"/>
      <c r="G149" s="154"/>
    </row>
    <row r="150" spans="1:7" x14ac:dyDescent="0.25">
      <c r="A150" s="90" t="str">
        <f t="shared" si="2"/>
        <v/>
      </c>
      <c r="B150" s="153"/>
      <c r="C150" s="153"/>
      <c r="D150" s="153"/>
      <c r="E150" s="153"/>
      <c r="F150" s="153"/>
      <c r="G150" s="154"/>
    </row>
    <row r="151" spans="1:7" x14ac:dyDescent="0.25">
      <c r="A151" s="90" t="str">
        <f t="shared" si="2"/>
        <v/>
      </c>
      <c r="B151" s="153"/>
      <c r="C151" s="153"/>
      <c r="D151" s="153"/>
      <c r="E151" s="153"/>
      <c r="F151" s="153"/>
      <c r="G151" s="154"/>
    </row>
    <row r="152" spans="1:7" x14ac:dyDescent="0.25">
      <c r="A152" s="90" t="str">
        <f t="shared" si="2"/>
        <v/>
      </c>
      <c r="B152" s="153"/>
      <c r="C152" s="153"/>
      <c r="D152" s="153"/>
      <c r="E152" s="153"/>
      <c r="F152" s="153"/>
      <c r="G152" s="154"/>
    </row>
    <row r="153" spans="1:7" x14ac:dyDescent="0.25">
      <c r="A153" s="90" t="str">
        <f t="shared" si="2"/>
        <v/>
      </c>
      <c r="B153" s="153"/>
      <c r="C153" s="153"/>
      <c r="D153" s="153"/>
      <c r="E153" s="153"/>
      <c r="F153" s="153"/>
      <c r="G153" s="154"/>
    </row>
    <row r="154" spans="1:7" x14ac:dyDescent="0.25">
      <c r="A154" s="90" t="str">
        <f t="shared" si="2"/>
        <v/>
      </c>
      <c r="B154" s="153"/>
      <c r="C154" s="153"/>
      <c r="D154" s="153"/>
      <c r="E154" s="153"/>
      <c r="F154" s="153"/>
      <c r="G154" s="154"/>
    </row>
    <row r="155" spans="1:7" x14ac:dyDescent="0.25">
      <c r="A155" s="90" t="str">
        <f t="shared" si="2"/>
        <v/>
      </c>
      <c r="B155" s="153"/>
      <c r="C155" s="153"/>
      <c r="D155" s="153"/>
      <c r="E155" s="153"/>
      <c r="F155" s="153"/>
      <c r="G155" s="154"/>
    </row>
    <row r="156" spans="1:7" x14ac:dyDescent="0.25">
      <c r="A156" s="90" t="str">
        <f t="shared" si="2"/>
        <v/>
      </c>
      <c r="B156" s="153"/>
      <c r="C156" s="153"/>
      <c r="D156" s="153"/>
      <c r="E156" s="153"/>
      <c r="F156" s="153"/>
      <c r="G156" s="154"/>
    </row>
    <row r="157" spans="1:7" x14ac:dyDescent="0.25">
      <c r="A157" s="90" t="str">
        <f t="shared" si="2"/>
        <v/>
      </c>
      <c r="B157" s="153"/>
      <c r="C157" s="153"/>
      <c r="D157" s="153"/>
      <c r="E157" s="153"/>
      <c r="F157" s="153"/>
      <c r="G157" s="154"/>
    </row>
    <row r="158" spans="1:7" x14ac:dyDescent="0.25">
      <c r="A158" s="90" t="str">
        <f t="shared" si="2"/>
        <v/>
      </c>
      <c r="B158" s="153"/>
      <c r="C158" s="153"/>
      <c r="D158" s="153"/>
      <c r="E158" s="153"/>
      <c r="F158" s="153"/>
      <c r="G158" s="154"/>
    </row>
    <row r="159" spans="1:7" x14ac:dyDescent="0.25">
      <c r="A159" s="90" t="str">
        <f t="shared" si="2"/>
        <v/>
      </c>
      <c r="B159" s="153"/>
      <c r="C159" s="153"/>
      <c r="D159" s="153"/>
      <c r="E159" s="153"/>
      <c r="F159" s="153"/>
      <c r="G159" s="154"/>
    </row>
    <row r="160" spans="1:7" x14ac:dyDescent="0.25">
      <c r="A160" s="90" t="str">
        <f t="shared" si="2"/>
        <v/>
      </c>
      <c r="B160" s="153"/>
      <c r="C160" s="153"/>
      <c r="D160" s="153"/>
      <c r="E160" s="153"/>
      <c r="F160" s="153"/>
      <c r="G160" s="154"/>
    </row>
    <row r="161" spans="1:7" x14ac:dyDescent="0.25">
      <c r="A161" s="90" t="str">
        <f t="shared" si="2"/>
        <v/>
      </c>
      <c r="B161" s="153"/>
      <c r="C161" s="153"/>
      <c r="D161" s="153"/>
      <c r="E161" s="153"/>
      <c r="F161" s="153"/>
      <c r="G161" s="154"/>
    </row>
    <row r="162" spans="1:7" x14ac:dyDescent="0.25">
      <c r="A162" s="90" t="str">
        <f t="shared" si="2"/>
        <v/>
      </c>
      <c r="B162" s="153"/>
      <c r="C162" s="153"/>
      <c r="D162" s="153"/>
      <c r="E162" s="153"/>
      <c r="F162" s="153"/>
      <c r="G162" s="154"/>
    </row>
    <row r="163" spans="1:7" x14ac:dyDescent="0.25">
      <c r="A163" s="90" t="str">
        <f t="shared" si="2"/>
        <v/>
      </c>
      <c r="B163" s="153"/>
      <c r="C163" s="153"/>
      <c r="D163" s="153"/>
      <c r="E163" s="153"/>
      <c r="F163" s="153"/>
      <c r="G163" s="154"/>
    </row>
    <row r="164" spans="1:7" x14ac:dyDescent="0.25">
      <c r="A164" s="90" t="str">
        <f t="shared" si="2"/>
        <v/>
      </c>
      <c r="B164" s="153"/>
      <c r="C164" s="153"/>
      <c r="D164" s="153"/>
      <c r="E164" s="153"/>
      <c r="F164" s="153"/>
      <c r="G164" s="154"/>
    </row>
    <row r="165" spans="1:7" x14ac:dyDescent="0.25">
      <c r="A165" s="90" t="str">
        <f t="shared" si="2"/>
        <v/>
      </c>
      <c r="B165" s="153"/>
      <c r="C165" s="153"/>
      <c r="D165" s="153"/>
      <c r="E165" s="153"/>
      <c r="F165" s="153"/>
      <c r="G165" s="154"/>
    </row>
    <row r="166" spans="1:7" x14ac:dyDescent="0.25">
      <c r="A166" s="90" t="str">
        <f t="shared" si="2"/>
        <v/>
      </c>
      <c r="B166" s="153"/>
      <c r="C166" s="153"/>
      <c r="D166" s="153"/>
      <c r="E166" s="153"/>
      <c r="F166" s="153"/>
      <c r="G166" s="154"/>
    </row>
    <row r="167" spans="1:7" x14ac:dyDescent="0.25">
      <c r="A167" s="90" t="str">
        <f t="shared" si="2"/>
        <v/>
      </c>
      <c r="B167" s="153"/>
      <c r="C167" s="153"/>
      <c r="D167" s="153"/>
      <c r="E167" s="153"/>
      <c r="F167" s="153"/>
      <c r="G167" s="154"/>
    </row>
    <row r="168" spans="1:7" x14ac:dyDescent="0.25">
      <c r="A168" s="90" t="str">
        <f t="shared" si="2"/>
        <v/>
      </c>
      <c r="B168" s="153"/>
      <c r="C168" s="153"/>
      <c r="D168" s="153"/>
      <c r="E168" s="153"/>
      <c r="F168" s="153"/>
      <c r="G168" s="154"/>
    </row>
    <row r="169" spans="1:7" x14ac:dyDescent="0.25">
      <c r="A169" s="90" t="str">
        <f t="shared" si="2"/>
        <v/>
      </c>
      <c r="B169" s="153"/>
      <c r="C169" s="153"/>
      <c r="D169" s="153"/>
      <c r="E169" s="153"/>
      <c r="F169" s="153"/>
      <c r="G169" s="154"/>
    </row>
    <row r="170" spans="1:7" x14ac:dyDescent="0.25">
      <c r="A170" s="90" t="str">
        <f t="shared" si="2"/>
        <v/>
      </c>
      <c r="B170" s="153"/>
      <c r="C170" s="153"/>
      <c r="D170" s="153"/>
      <c r="E170" s="153"/>
      <c r="F170" s="153"/>
      <c r="G170" s="154"/>
    </row>
    <row r="171" spans="1:7" x14ac:dyDescent="0.25">
      <c r="A171" s="90" t="str">
        <f t="shared" si="2"/>
        <v/>
      </c>
      <c r="B171" s="153"/>
      <c r="C171" s="153"/>
      <c r="D171" s="153"/>
      <c r="E171" s="153"/>
      <c r="F171" s="153"/>
      <c r="G171" s="154"/>
    </row>
    <row r="172" spans="1:7" x14ac:dyDescent="0.25">
      <c r="A172" s="90" t="str">
        <f t="shared" si="2"/>
        <v/>
      </c>
      <c r="B172" s="153"/>
      <c r="C172" s="153"/>
      <c r="D172" s="153"/>
      <c r="E172" s="153"/>
      <c r="F172" s="153"/>
      <c r="G172" s="154"/>
    </row>
    <row r="173" spans="1:7" x14ac:dyDescent="0.25">
      <c r="A173" s="90" t="str">
        <f t="shared" si="2"/>
        <v/>
      </c>
      <c r="B173" s="153"/>
      <c r="C173" s="153"/>
      <c r="D173" s="153"/>
      <c r="E173" s="153"/>
      <c r="F173" s="153"/>
      <c r="G173" s="154"/>
    </row>
    <row r="174" spans="1:7" x14ac:dyDescent="0.25">
      <c r="A174" s="90" t="str">
        <f t="shared" si="2"/>
        <v/>
      </c>
      <c r="B174" s="153"/>
      <c r="C174" s="153"/>
      <c r="D174" s="153"/>
      <c r="E174" s="153"/>
      <c r="F174" s="153"/>
      <c r="G174" s="154"/>
    </row>
    <row r="175" spans="1:7" x14ac:dyDescent="0.25">
      <c r="A175" s="90" t="str">
        <f t="shared" si="2"/>
        <v/>
      </c>
      <c r="B175" s="153"/>
      <c r="C175" s="153"/>
      <c r="D175" s="153"/>
      <c r="E175" s="153"/>
      <c r="F175" s="153"/>
      <c r="G175" s="154"/>
    </row>
    <row r="176" spans="1:7" x14ac:dyDescent="0.25">
      <c r="A176" s="90" t="str">
        <f t="shared" si="2"/>
        <v/>
      </c>
      <c r="B176" s="153"/>
      <c r="C176" s="153"/>
      <c r="D176" s="153"/>
      <c r="E176" s="153"/>
      <c r="F176" s="153"/>
      <c r="G176" s="154"/>
    </row>
    <row r="177" spans="1:7" x14ac:dyDescent="0.25">
      <c r="A177" s="90" t="str">
        <f t="shared" si="2"/>
        <v/>
      </c>
      <c r="B177" s="153"/>
      <c r="C177" s="153"/>
      <c r="D177" s="153"/>
      <c r="E177" s="153"/>
      <c r="F177" s="153"/>
      <c r="G177" s="154"/>
    </row>
    <row r="178" spans="1:7" x14ac:dyDescent="0.25">
      <c r="A178" s="90" t="str">
        <f t="shared" si="2"/>
        <v/>
      </c>
      <c r="B178" s="153"/>
      <c r="C178" s="153"/>
      <c r="D178" s="153"/>
      <c r="E178" s="153"/>
      <c r="F178" s="153"/>
      <c r="G178" s="154"/>
    </row>
    <row r="179" spans="1:7" x14ac:dyDescent="0.25">
      <c r="A179" s="90" t="str">
        <f t="shared" si="2"/>
        <v/>
      </c>
      <c r="B179" s="153"/>
      <c r="C179" s="153"/>
      <c r="D179" s="153"/>
      <c r="E179" s="153"/>
      <c r="F179" s="153"/>
      <c r="G179" s="154"/>
    </row>
    <row r="180" spans="1:7" x14ac:dyDescent="0.25">
      <c r="A180" s="90" t="str">
        <f t="shared" si="2"/>
        <v/>
      </c>
      <c r="B180" s="153"/>
      <c r="C180" s="153"/>
      <c r="D180" s="153"/>
      <c r="E180" s="153"/>
      <c r="F180" s="153"/>
      <c r="G180" s="154"/>
    </row>
    <row r="181" spans="1:7" x14ac:dyDescent="0.25">
      <c r="A181" s="90" t="str">
        <f t="shared" si="2"/>
        <v/>
      </c>
      <c r="B181" s="153"/>
      <c r="C181" s="153"/>
      <c r="D181" s="153"/>
      <c r="E181" s="153"/>
      <c r="F181" s="153"/>
      <c r="G181" s="154"/>
    </row>
    <row r="182" spans="1:7" x14ac:dyDescent="0.25">
      <c r="A182" s="90" t="str">
        <f t="shared" si="2"/>
        <v/>
      </c>
      <c r="B182" s="153"/>
      <c r="C182" s="153"/>
      <c r="D182" s="153"/>
      <c r="E182" s="153"/>
      <c r="F182" s="153"/>
      <c r="G182" s="154"/>
    </row>
    <row r="183" spans="1:7" x14ac:dyDescent="0.25">
      <c r="A183" s="90" t="str">
        <f t="shared" si="2"/>
        <v/>
      </c>
      <c r="B183" s="153"/>
      <c r="C183" s="153"/>
      <c r="D183" s="153"/>
      <c r="E183" s="153"/>
      <c r="F183" s="153"/>
      <c r="G183" s="154"/>
    </row>
    <row r="184" spans="1:7" x14ac:dyDescent="0.25">
      <c r="A184" s="90" t="str">
        <f t="shared" si="2"/>
        <v/>
      </c>
      <c r="B184" s="153"/>
      <c r="C184" s="153"/>
      <c r="D184" s="153"/>
      <c r="E184" s="153"/>
      <c r="F184" s="153"/>
      <c r="G184" s="154"/>
    </row>
    <row r="185" spans="1:7" x14ac:dyDescent="0.25">
      <c r="A185" s="90" t="str">
        <f t="shared" si="2"/>
        <v/>
      </c>
      <c r="B185" s="153"/>
      <c r="C185" s="153"/>
      <c r="D185" s="153"/>
      <c r="E185" s="153"/>
      <c r="F185" s="153"/>
      <c r="G185" s="154"/>
    </row>
    <row r="186" spans="1:7" x14ac:dyDescent="0.25">
      <c r="A186" s="90" t="str">
        <f t="shared" si="2"/>
        <v/>
      </c>
      <c r="B186" s="153"/>
      <c r="C186" s="153"/>
      <c r="D186" s="153"/>
      <c r="E186" s="153"/>
      <c r="F186" s="153"/>
      <c r="G186" s="154"/>
    </row>
    <row r="187" spans="1:7" x14ac:dyDescent="0.25">
      <c r="A187" s="90" t="str">
        <f t="shared" si="2"/>
        <v/>
      </c>
      <c r="B187" s="153"/>
      <c r="C187" s="153"/>
      <c r="D187" s="153"/>
      <c r="E187" s="153"/>
      <c r="F187" s="153"/>
      <c r="G187" s="154"/>
    </row>
    <row r="188" spans="1:7" x14ac:dyDescent="0.25">
      <c r="A188" s="90" t="str">
        <f t="shared" si="2"/>
        <v/>
      </c>
      <c r="B188" s="153"/>
      <c r="C188" s="153"/>
      <c r="D188" s="153"/>
      <c r="E188" s="153"/>
      <c r="F188" s="153"/>
      <c r="G188" s="154"/>
    </row>
    <row r="189" spans="1:7" x14ac:dyDescent="0.25">
      <c r="A189" s="90" t="str">
        <f t="shared" si="2"/>
        <v/>
      </c>
      <c r="B189" s="153"/>
      <c r="C189" s="153"/>
      <c r="D189" s="153"/>
      <c r="E189" s="153"/>
      <c r="F189" s="153"/>
      <c r="G189" s="154"/>
    </row>
    <row r="190" spans="1:7" x14ac:dyDescent="0.25">
      <c r="A190" s="90" t="str">
        <f t="shared" si="2"/>
        <v/>
      </c>
      <c r="B190" s="153"/>
      <c r="C190" s="153"/>
      <c r="D190" s="153"/>
      <c r="E190" s="153"/>
      <c r="F190" s="153"/>
      <c r="G190" s="154"/>
    </row>
    <row r="191" spans="1:7" x14ac:dyDescent="0.25">
      <c r="A191" s="90" t="str">
        <f t="shared" si="2"/>
        <v/>
      </c>
      <c r="B191" s="153"/>
      <c r="C191" s="153"/>
      <c r="D191" s="153"/>
      <c r="E191" s="153"/>
      <c r="F191" s="153"/>
      <c r="G191" s="154"/>
    </row>
    <row r="192" spans="1:7" x14ac:dyDescent="0.25">
      <c r="A192" s="90" t="str">
        <f t="shared" si="2"/>
        <v/>
      </c>
      <c r="B192" s="153"/>
      <c r="C192" s="153"/>
      <c r="D192" s="153"/>
      <c r="E192" s="153"/>
      <c r="F192" s="153"/>
      <c r="G192" s="154"/>
    </row>
    <row r="193" spans="1:7" x14ac:dyDescent="0.25">
      <c r="A193" s="90" t="str">
        <f t="shared" si="2"/>
        <v/>
      </c>
      <c r="B193" s="153"/>
      <c r="C193" s="153"/>
      <c r="D193" s="153"/>
      <c r="E193" s="153"/>
      <c r="F193" s="153"/>
      <c r="G193" s="154"/>
    </row>
    <row r="194" spans="1:7" x14ac:dyDescent="0.25">
      <c r="A194" s="90" t="str">
        <f t="shared" si="2"/>
        <v/>
      </c>
      <c r="B194" s="153"/>
      <c r="C194" s="153"/>
      <c r="D194" s="153"/>
      <c r="E194" s="153"/>
      <c r="F194" s="153"/>
      <c r="G194" s="154"/>
    </row>
    <row r="195" spans="1:7" x14ac:dyDescent="0.25">
      <c r="A195" s="90" t="str">
        <f t="shared" si="2"/>
        <v/>
      </c>
      <c r="B195" s="153"/>
      <c r="C195" s="153"/>
      <c r="D195" s="153"/>
      <c r="E195" s="153"/>
      <c r="F195" s="153"/>
      <c r="G195" s="154"/>
    </row>
    <row r="196" spans="1:7" x14ac:dyDescent="0.25">
      <c r="A196" s="90" t="str">
        <f t="shared" si="2"/>
        <v/>
      </c>
      <c r="B196" s="153"/>
      <c r="C196" s="153"/>
      <c r="D196" s="153"/>
      <c r="E196" s="153"/>
      <c r="F196" s="153"/>
      <c r="G196" s="154"/>
    </row>
    <row r="197" spans="1:7" x14ac:dyDescent="0.25">
      <c r="A197" s="90" t="str">
        <f t="shared" si="2"/>
        <v/>
      </c>
      <c r="B197" s="153"/>
      <c r="C197" s="153"/>
      <c r="D197" s="153"/>
      <c r="E197" s="153"/>
      <c r="F197" s="153"/>
      <c r="G197" s="154"/>
    </row>
    <row r="198" spans="1:7" x14ac:dyDescent="0.25">
      <c r="A198" s="90" t="str">
        <f t="shared" si="2"/>
        <v/>
      </c>
      <c r="B198" s="153"/>
      <c r="C198" s="153"/>
      <c r="D198" s="153"/>
      <c r="E198" s="153"/>
      <c r="F198" s="153"/>
      <c r="G198" s="154"/>
    </row>
    <row r="199" spans="1:7" x14ac:dyDescent="0.25">
      <c r="A199" s="90" t="str">
        <f t="shared" ref="A199:A241" si="3">IF(B199&lt;&gt;"",A198+1,"")</f>
        <v/>
      </c>
      <c r="B199" s="153"/>
      <c r="C199" s="153"/>
      <c r="D199" s="153"/>
      <c r="E199" s="153"/>
      <c r="F199" s="153"/>
      <c r="G199" s="154"/>
    </row>
    <row r="200" spans="1:7" x14ac:dyDescent="0.25">
      <c r="A200" s="90" t="str">
        <f t="shared" si="3"/>
        <v/>
      </c>
      <c r="B200" s="153"/>
      <c r="C200" s="153"/>
      <c r="D200" s="153"/>
      <c r="E200" s="153"/>
      <c r="F200" s="153"/>
      <c r="G200" s="154"/>
    </row>
    <row r="201" spans="1:7" x14ac:dyDescent="0.25">
      <c r="A201" s="90" t="str">
        <f t="shared" si="3"/>
        <v/>
      </c>
      <c r="B201" s="153"/>
      <c r="C201" s="153"/>
      <c r="D201" s="153"/>
      <c r="E201" s="153"/>
      <c r="F201" s="153"/>
      <c r="G201" s="154"/>
    </row>
    <row r="202" spans="1:7" x14ac:dyDescent="0.25">
      <c r="A202" s="90" t="str">
        <f t="shared" si="3"/>
        <v/>
      </c>
      <c r="B202" s="153"/>
      <c r="C202" s="153"/>
      <c r="D202" s="153"/>
      <c r="E202" s="153"/>
      <c r="F202" s="153"/>
      <c r="G202" s="154"/>
    </row>
    <row r="203" spans="1:7" x14ac:dyDescent="0.25">
      <c r="A203" s="90" t="str">
        <f t="shared" si="3"/>
        <v/>
      </c>
      <c r="B203" s="153"/>
      <c r="C203" s="153"/>
      <c r="D203" s="153"/>
      <c r="E203" s="153"/>
      <c r="F203" s="153"/>
      <c r="G203" s="154"/>
    </row>
    <row r="204" spans="1:7" x14ac:dyDescent="0.25">
      <c r="A204" s="90" t="str">
        <f t="shared" si="3"/>
        <v/>
      </c>
      <c r="B204" s="153"/>
      <c r="C204" s="153"/>
      <c r="D204" s="153"/>
      <c r="E204" s="153"/>
      <c r="F204" s="153"/>
      <c r="G204" s="154"/>
    </row>
    <row r="205" spans="1:7" x14ac:dyDescent="0.25">
      <c r="A205" s="90" t="str">
        <f t="shared" si="3"/>
        <v/>
      </c>
      <c r="B205" s="153"/>
      <c r="C205" s="153"/>
      <c r="D205" s="153"/>
      <c r="E205" s="153"/>
      <c r="F205" s="153"/>
      <c r="G205" s="154"/>
    </row>
    <row r="206" spans="1:7" x14ac:dyDescent="0.25">
      <c r="A206" s="90" t="str">
        <f t="shared" si="3"/>
        <v/>
      </c>
      <c r="B206" s="153"/>
      <c r="C206" s="153"/>
      <c r="D206" s="153"/>
      <c r="E206" s="153"/>
      <c r="F206" s="153"/>
      <c r="G206" s="154"/>
    </row>
    <row r="207" spans="1:7" x14ac:dyDescent="0.25">
      <c r="A207" s="90" t="str">
        <f t="shared" si="3"/>
        <v/>
      </c>
      <c r="B207" s="153"/>
      <c r="C207" s="153"/>
      <c r="D207" s="153"/>
      <c r="E207" s="153"/>
      <c r="F207" s="153"/>
      <c r="G207" s="154"/>
    </row>
    <row r="208" spans="1:7" x14ac:dyDescent="0.25">
      <c r="A208" s="90" t="str">
        <f t="shared" si="3"/>
        <v/>
      </c>
      <c r="B208" s="153"/>
      <c r="C208" s="153"/>
      <c r="D208" s="153"/>
      <c r="E208" s="153"/>
      <c r="F208" s="153"/>
      <c r="G208" s="154"/>
    </row>
    <row r="209" spans="1:7" x14ac:dyDescent="0.25">
      <c r="A209" s="90" t="str">
        <f t="shared" si="3"/>
        <v/>
      </c>
      <c r="B209" s="153"/>
      <c r="C209" s="153"/>
      <c r="D209" s="153"/>
      <c r="E209" s="153"/>
      <c r="F209" s="153"/>
      <c r="G209" s="154"/>
    </row>
    <row r="210" spans="1:7" x14ac:dyDescent="0.25">
      <c r="A210" s="90" t="str">
        <f t="shared" si="3"/>
        <v/>
      </c>
      <c r="B210" s="153"/>
      <c r="C210" s="153"/>
      <c r="D210" s="153"/>
      <c r="E210" s="153"/>
      <c r="F210" s="153"/>
      <c r="G210" s="154"/>
    </row>
    <row r="211" spans="1:7" x14ac:dyDescent="0.25">
      <c r="A211" s="90" t="str">
        <f t="shared" si="3"/>
        <v/>
      </c>
      <c r="B211" s="153"/>
      <c r="C211" s="153"/>
      <c r="D211" s="153"/>
      <c r="E211" s="153"/>
      <c r="F211" s="153"/>
      <c r="G211" s="154"/>
    </row>
    <row r="212" spans="1:7" x14ac:dyDescent="0.25">
      <c r="A212" s="90" t="str">
        <f t="shared" si="3"/>
        <v/>
      </c>
      <c r="B212" s="153"/>
      <c r="C212" s="153"/>
      <c r="D212" s="153"/>
      <c r="E212" s="153"/>
      <c r="F212" s="153"/>
      <c r="G212" s="154"/>
    </row>
    <row r="213" spans="1:7" x14ac:dyDescent="0.25">
      <c r="A213" s="90" t="str">
        <f t="shared" si="3"/>
        <v/>
      </c>
      <c r="B213" s="153"/>
      <c r="C213" s="153"/>
      <c r="D213" s="153"/>
      <c r="E213" s="153"/>
      <c r="F213" s="153"/>
      <c r="G213" s="154"/>
    </row>
    <row r="214" spans="1:7" x14ac:dyDescent="0.25">
      <c r="A214" s="90" t="str">
        <f t="shared" si="3"/>
        <v/>
      </c>
      <c r="B214" s="153"/>
      <c r="C214" s="153"/>
      <c r="D214" s="153"/>
      <c r="E214" s="153"/>
      <c r="F214" s="153"/>
      <c r="G214" s="154"/>
    </row>
    <row r="215" spans="1:7" x14ac:dyDescent="0.25">
      <c r="A215" s="90" t="str">
        <f t="shared" si="3"/>
        <v/>
      </c>
      <c r="B215" s="153"/>
      <c r="C215" s="153"/>
      <c r="D215" s="153"/>
      <c r="E215" s="153"/>
      <c r="F215" s="153"/>
      <c r="G215" s="154"/>
    </row>
    <row r="216" spans="1:7" x14ac:dyDescent="0.25">
      <c r="A216" s="90" t="str">
        <f t="shared" si="3"/>
        <v/>
      </c>
      <c r="B216" s="153"/>
      <c r="C216" s="153"/>
      <c r="D216" s="153"/>
      <c r="E216" s="153"/>
      <c r="F216" s="153"/>
      <c r="G216" s="154"/>
    </row>
    <row r="217" spans="1:7" x14ac:dyDescent="0.25">
      <c r="A217" s="90" t="str">
        <f t="shared" si="3"/>
        <v/>
      </c>
      <c r="B217" s="153"/>
      <c r="C217" s="153"/>
      <c r="D217" s="153"/>
      <c r="E217" s="153"/>
      <c r="F217" s="153"/>
      <c r="G217" s="154"/>
    </row>
    <row r="218" spans="1:7" x14ac:dyDescent="0.25">
      <c r="A218" s="90" t="str">
        <f t="shared" si="3"/>
        <v/>
      </c>
      <c r="B218" s="153"/>
      <c r="C218" s="153"/>
      <c r="D218" s="153"/>
      <c r="E218" s="153"/>
      <c r="F218" s="153"/>
      <c r="G218" s="154"/>
    </row>
    <row r="219" spans="1:7" x14ac:dyDescent="0.25">
      <c r="A219" s="90" t="str">
        <f t="shared" si="3"/>
        <v/>
      </c>
      <c r="B219" s="153"/>
      <c r="C219" s="153"/>
      <c r="D219" s="153"/>
      <c r="E219" s="153"/>
      <c r="F219" s="153"/>
      <c r="G219" s="154"/>
    </row>
    <row r="220" spans="1:7" x14ac:dyDescent="0.25">
      <c r="A220" s="90" t="str">
        <f t="shared" si="3"/>
        <v/>
      </c>
      <c r="B220" s="153"/>
      <c r="C220" s="153"/>
      <c r="D220" s="153"/>
      <c r="E220" s="153"/>
      <c r="F220" s="153"/>
      <c r="G220" s="154"/>
    </row>
    <row r="221" spans="1:7" x14ac:dyDescent="0.25">
      <c r="A221" s="90" t="str">
        <f t="shared" si="3"/>
        <v/>
      </c>
      <c r="B221" s="153"/>
      <c r="C221" s="153"/>
      <c r="D221" s="153"/>
      <c r="E221" s="153"/>
      <c r="F221" s="153"/>
      <c r="G221" s="154"/>
    </row>
    <row r="222" spans="1:7" x14ac:dyDescent="0.25">
      <c r="A222" s="90" t="str">
        <f t="shared" si="3"/>
        <v/>
      </c>
      <c r="B222" s="153"/>
      <c r="C222" s="153"/>
      <c r="D222" s="153"/>
      <c r="E222" s="153"/>
      <c r="F222" s="153"/>
      <c r="G222" s="154"/>
    </row>
    <row r="223" spans="1:7" x14ac:dyDescent="0.25">
      <c r="A223" s="90" t="str">
        <f t="shared" si="3"/>
        <v/>
      </c>
      <c r="B223" s="153"/>
      <c r="C223" s="153"/>
      <c r="D223" s="153"/>
      <c r="E223" s="153"/>
      <c r="F223" s="153"/>
      <c r="G223" s="154"/>
    </row>
    <row r="224" spans="1:7" x14ac:dyDescent="0.25">
      <c r="A224" s="90" t="str">
        <f t="shared" si="3"/>
        <v/>
      </c>
      <c r="B224" s="153"/>
      <c r="C224" s="153"/>
      <c r="D224" s="153"/>
      <c r="E224" s="153"/>
      <c r="F224" s="153"/>
      <c r="G224" s="154"/>
    </row>
    <row r="225" spans="1:7" x14ac:dyDescent="0.25">
      <c r="A225" s="90" t="str">
        <f t="shared" si="3"/>
        <v/>
      </c>
      <c r="B225" s="153"/>
      <c r="C225" s="153"/>
      <c r="D225" s="153"/>
      <c r="E225" s="153"/>
      <c r="F225" s="153"/>
      <c r="G225" s="154"/>
    </row>
    <row r="226" spans="1:7" x14ac:dyDescent="0.25">
      <c r="A226" s="90" t="str">
        <f t="shared" si="3"/>
        <v/>
      </c>
      <c r="B226" s="153"/>
      <c r="C226" s="153"/>
      <c r="D226" s="153"/>
      <c r="E226" s="153"/>
      <c r="F226" s="153"/>
      <c r="G226" s="154"/>
    </row>
    <row r="227" spans="1:7" x14ac:dyDescent="0.25">
      <c r="A227" s="90" t="str">
        <f t="shared" si="3"/>
        <v/>
      </c>
      <c r="B227" s="153"/>
      <c r="C227" s="153"/>
      <c r="D227" s="153"/>
      <c r="E227" s="153"/>
      <c r="F227" s="153"/>
      <c r="G227" s="154"/>
    </row>
    <row r="228" spans="1:7" x14ac:dyDescent="0.25">
      <c r="A228" s="90" t="str">
        <f t="shared" si="3"/>
        <v/>
      </c>
      <c r="B228" s="153"/>
      <c r="C228" s="153"/>
      <c r="D228" s="153"/>
      <c r="E228" s="153"/>
      <c r="F228" s="153"/>
      <c r="G228" s="154"/>
    </row>
    <row r="229" spans="1:7" x14ac:dyDescent="0.25">
      <c r="A229" s="90" t="str">
        <f t="shared" si="3"/>
        <v/>
      </c>
      <c r="B229" s="153"/>
      <c r="C229" s="153"/>
      <c r="D229" s="153"/>
      <c r="E229" s="153"/>
      <c r="F229" s="153"/>
      <c r="G229" s="154"/>
    </row>
    <row r="230" spans="1:7" x14ac:dyDescent="0.25">
      <c r="A230" s="90" t="str">
        <f t="shared" si="3"/>
        <v/>
      </c>
      <c r="B230" s="153"/>
      <c r="C230" s="153"/>
      <c r="D230" s="153"/>
      <c r="E230" s="153"/>
      <c r="F230" s="153"/>
      <c r="G230" s="154"/>
    </row>
    <row r="231" spans="1:7" x14ac:dyDescent="0.25">
      <c r="A231" s="90" t="str">
        <f t="shared" si="3"/>
        <v/>
      </c>
      <c r="B231" s="153"/>
      <c r="C231" s="153"/>
      <c r="D231" s="153"/>
      <c r="E231" s="153"/>
      <c r="F231" s="153"/>
      <c r="G231" s="154"/>
    </row>
    <row r="232" spans="1:7" x14ac:dyDescent="0.25">
      <c r="A232" s="90" t="str">
        <f t="shared" si="3"/>
        <v/>
      </c>
      <c r="B232" s="153"/>
      <c r="C232" s="153"/>
      <c r="D232" s="153"/>
      <c r="E232" s="153"/>
      <c r="F232" s="153"/>
      <c r="G232" s="154"/>
    </row>
    <row r="233" spans="1:7" x14ac:dyDescent="0.25">
      <c r="A233" s="90" t="str">
        <f t="shared" si="3"/>
        <v/>
      </c>
      <c r="B233" s="153"/>
      <c r="C233" s="153"/>
      <c r="D233" s="153"/>
      <c r="E233" s="153"/>
      <c r="F233" s="153"/>
      <c r="G233" s="154"/>
    </row>
    <row r="234" spans="1:7" x14ac:dyDescent="0.25">
      <c r="A234" s="90" t="str">
        <f t="shared" si="3"/>
        <v/>
      </c>
      <c r="B234" s="153"/>
      <c r="C234" s="153"/>
      <c r="D234" s="153"/>
      <c r="E234" s="153"/>
      <c r="F234" s="153"/>
      <c r="G234" s="154"/>
    </row>
    <row r="235" spans="1:7" x14ac:dyDescent="0.25">
      <c r="A235" s="90" t="str">
        <f t="shared" si="3"/>
        <v/>
      </c>
      <c r="B235" s="153"/>
      <c r="C235" s="153"/>
      <c r="D235" s="153"/>
      <c r="E235" s="153"/>
      <c r="F235" s="153"/>
      <c r="G235" s="154"/>
    </row>
    <row r="236" spans="1:7" x14ac:dyDescent="0.25">
      <c r="A236" s="90" t="str">
        <f t="shared" si="3"/>
        <v/>
      </c>
      <c r="B236" s="153"/>
      <c r="C236" s="153"/>
      <c r="D236" s="153"/>
      <c r="E236" s="153"/>
      <c r="F236" s="153"/>
      <c r="G236" s="154"/>
    </row>
    <row r="237" spans="1:7" x14ac:dyDescent="0.25">
      <c r="A237" s="90" t="str">
        <f t="shared" si="3"/>
        <v/>
      </c>
      <c r="B237" s="153"/>
      <c r="C237" s="153"/>
      <c r="D237" s="153"/>
      <c r="E237" s="153"/>
      <c r="F237" s="153"/>
      <c r="G237" s="154"/>
    </row>
    <row r="238" spans="1:7" x14ac:dyDescent="0.25">
      <c r="A238" s="90" t="str">
        <f t="shared" si="3"/>
        <v/>
      </c>
      <c r="B238" s="153"/>
      <c r="C238" s="153"/>
      <c r="D238" s="153"/>
      <c r="E238" s="153"/>
      <c r="F238" s="153"/>
      <c r="G238" s="154"/>
    </row>
    <row r="239" spans="1:7" x14ac:dyDescent="0.25">
      <c r="A239" s="90" t="str">
        <f t="shared" si="3"/>
        <v/>
      </c>
      <c r="B239" s="153"/>
      <c r="C239" s="153"/>
      <c r="D239" s="153"/>
      <c r="E239" s="153"/>
      <c r="F239" s="153"/>
      <c r="G239" s="154"/>
    </row>
    <row r="240" spans="1:7" x14ac:dyDescent="0.25">
      <c r="A240" s="90" t="str">
        <f t="shared" si="3"/>
        <v/>
      </c>
      <c r="B240" s="153"/>
      <c r="C240" s="153"/>
      <c r="D240" s="153"/>
      <c r="E240" s="153"/>
      <c r="F240" s="153"/>
      <c r="G240" s="154"/>
    </row>
    <row r="241" spans="1:7" x14ac:dyDescent="0.25">
      <c r="A241" s="90" t="str">
        <f t="shared" si="3"/>
        <v/>
      </c>
      <c r="B241" s="153"/>
      <c r="C241" s="153"/>
      <c r="D241" s="153"/>
      <c r="E241" s="153"/>
      <c r="F241" s="153"/>
      <c r="G241" s="154"/>
    </row>
  </sheetData>
  <sheetProtection algorithmName="SHA-512" hashValue="Sys2kFSNYBkGWuEz4qlkYxPQYXc1Ofw/GrzfGq71upqlUqmdGOQC7Cemc2x8CzqXVY1DgYII5l3BBf05aYROVg==" saltValue="16yfTeyZGPDrhvCWjl/lQg==" spinCount="100000" sheet="1" objects="1" scenarios="1"/>
  <mergeCells count="1">
    <mergeCell ref="B1:G1"/>
  </mergeCells>
  <phoneticPr fontId="9"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C2E05-DC1A-4F45-A387-DDEF4FE47B4B}">
  <sheetPr codeName="Hoja5">
    <tabColor rgb="FFFFC000"/>
  </sheetPr>
  <dimension ref="A1:G200"/>
  <sheetViews>
    <sheetView zoomScale="130" zoomScaleNormal="130" workbookViewId="0">
      <selection activeCell="I15" sqref="I15"/>
    </sheetView>
  </sheetViews>
  <sheetFormatPr defaultColWidth="5.7109375" defaultRowHeight="12" x14ac:dyDescent="0.25"/>
  <cols>
    <col min="1" max="1" width="5.7109375" style="91"/>
    <col min="2" max="2" width="20.28515625" style="91" customWidth="1"/>
    <col min="3" max="3" width="9.42578125" style="91" customWidth="1"/>
    <col min="4" max="4" width="9" style="91" bestFit="1" customWidth="1"/>
    <col min="5" max="5" width="10.5703125" style="91" bestFit="1" customWidth="1"/>
    <col min="6" max="6" width="13" style="91" bestFit="1" customWidth="1"/>
    <col min="7" max="7" width="13.7109375" style="91" customWidth="1"/>
    <col min="8" max="16384" width="5.7109375" style="91"/>
  </cols>
  <sheetData>
    <row r="1" spans="1:7" ht="18.75" customHeight="1" x14ac:dyDescent="0.25">
      <c r="A1" s="89"/>
      <c r="B1" s="175" t="s">
        <v>215</v>
      </c>
      <c r="C1" s="175"/>
      <c r="D1" s="175"/>
      <c r="E1" s="175"/>
      <c r="F1" s="175"/>
      <c r="G1" s="175"/>
    </row>
    <row r="2" spans="1:7" ht="8.25" customHeight="1" x14ac:dyDescent="0.25">
      <c r="A2" s="89"/>
      <c r="B2" s="92"/>
      <c r="C2" s="92"/>
      <c r="D2" s="92"/>
      <c r="E2" s="92"/>
      <c r="F2" s="92"/>
      <c r="G2" s="92"/>
    </row>
    <row r="3" spans="1:7" x14ac:dyDescent="0.25">
      <c r="A3" s="4" t="s">
        <v>28</v>
      </c>
      <c r="B3" s="4" t="s">
        <v>21</v>
      </c>
      <c r="C3" s="4" t="s">
        <v>26</v>
      </c>
      <c r="D3" s="4" t="s">
        <v>40</v>
      </c>
      <c r="E3" s="4" t="s">
        <v>27</v>
      </c>
      <c r="F3" s="4" t="s">
        <v>24</v>
      </c>
      <c r="G3" s="93" t="s">
        <v>78</v>
      </c>
    </row>
    <row r="4" spans="1:7" ht="4.5" customHeight="1" x14ac:dyDescent="0.25">
      <c r="A4" s="4"/>
      <c r="B4" s="90"/>
      <c r="C4" s="90"/>
      <c r="D4" s="90"/>
      <c r="E4" s="90"/>
      <c r="F4" s="90"/>
      <c r="G4" s="89"/>
    </row>
    <row r="5" spans="1:7" x14ac:dyDescent="0.25">
      <c r="A5" s="90">
        <v>1</v>
      </c>
      <c r="B5" s="153" t="s">
        <v>142</v>
      </c>
      <c r="C5" s="153" t="s">
        <v>37</v>
      </c>
      <c r="D5" s="151">
        <v>8</v>
      </c>
      <c r="E5" s="153" t="s">
        <v>38</v>
      </c>
      <c r="F5" s="153">
        <v>30</v>
      </c>
      <c r="G5" s="154">
        <v>486390</v>
      </c>
    </row>
    <row r="6" spans="1:7" x14ac:dyDescent="0.25">
      <c r="A6" s="90">
        <f>IF(B6&lt;&gt;"",A5+1,"")</f>
        <v>2</v>
      </c>
      <c r="B6" s="153" t="s">
        <v>143</v>
      </c>
      <c r="C6" s="153" t="s">
        <v>37</v>
      </c>
      <c r="D6" s="151">
        <v>10</v>
      </c>
      <c r="E6" s="153" t="s">
        <v>38</v>
      </c>
      <c r="F6" s="153">
        <v>30</v>
      </c>
      <c r="G6" s="154">
        <v>659715</v>
      </c>
    </row>
    <row r="7" spans="1:7" x14ac:dyDescent="0.25">
      <c r="A7" s="90">
        <f t="shared" ref="A7:A70" si="0">IF(B7&lt;&gt;"",A6+1,"")</f>
        <v>3</v>
      </c>
      <c r="B7" s="153" t="s">
        <v>144</v>
      </c>
      <c r="C7" s="153" t="s">
        <v>37</v>
      </c>
      <c r="D7" s="151">
        <v>12</v>
      </c>
      <c r="E7" s="153" t="s">
        <v>38</v>
      </c>
      <c r="F7" s="153">
        <v>30</v>
      </c>
      <c r="G7" s="154">
        <v>788104</v>
      </c>
    </row>
    <row r="8" spans="1:7" x14ac:dyDescent="0.25">
      <c r="A8" s="90">
        <f t="shared" si="0"/>
        <v>4</v>
      </c>
      <c r="B8" s="153" t="s">
        <v>145</v>
      </c>
      <c r="C8" s="153" t="s">
        <v>37</v>
      </c>
      <c r="D8" s="151">
        <v>14</v>
      </c>
      <c r="E8" s="153" t="s">
        <v>39</v>
      </c>
      <c r="F8" s="153">
        <v>30</v>
      </c>
      <c r="G8" s="154">
        <v>1247737</v>
      </c>
    </row>
    <row r="9" spans="1:7" x14ac:dyDescent="0.25">
      <c r="A9" s="90">
        <f t="shared" si="0"/>
        <v>5</v>
      </c>
      <c r="B9" s="153" t="s">
        <v>146</v>
      </c>
      <c r="C9" s="153" t="s">
        <v>37</v>
      </c>
      <c r="D9" s="151">
        <v>16</v>
      </c>
      <c r="E9" s="153" t="s">
        <v>39</v>
      </c>
      <c r="F9" s="153">
        <v>30</v>
      </c>
      <c r="G9" s="154">
        <v>1875560</v>
      </c>
    </row>
    <row r="10" spans="1:7" x14ac:dyDescent="0.25">
      <c r="A10" s="90">
        <f t="shared" si="0"/>
        <v>6</v>
      </c>
      <c r="B10" s="153" t="s">
        <v>147</v>
      </c>
      <c r="C10" s="153" t="s">
        <v>41</v>
      </c>
      <c r="D10" s="151">
        <v>9</v>
      </c>
      <c r="E10" s="153" t="s">
        <v>42</v>
      </c>
      <c r="F10" s="153">
        <v>30</v>
      </c>
      <c r="G10" s="154">
        <v>2522508</v>
      </c>
    </row>
    <row r="11" spans="1:7" x14ac:dyDescent="0.25">
      <c r="A11" s="90">
        <f t="shared" si="0"/>
        <v>7</v>
      </c>
      <c r="B11" s="153" t="s">
        <v>148</v>
      </c>
      <c r="C11" s="153" t="s">
        <v>41</v>
      </c>
      <c r="D11" s="151">
        <v>10</v>
      </c>
      <c r="E11" s="153" t="s">
        <v>42</v>
      </c>
      <c r="F11" s="153">
        <v>30</v>
      </c>
      <c r="G11" s="154">
        <v>2327562</v>
      </c>
    </row>
    <row r="12" spans="1:7" x14ac:dyDescent="0.25">
      <c r="A12" s="90">
        <f t="shared" si="0"/>
        <v>8</v>
      </c>
      <c r="B12" s="153" t="s">
        <v>149</v>
      </c>
      <c r="C12" s="153" t="s">
        <v>41</v>
      </c>
      <c r="D12" s="151">
        <v>12</v>
      </c>
      <c r="E12" s="153" t="s">
        <v>42</v>
      </c>
      <c r="F12" s="153">
        <v>30</v>
      </c>
      <c r="G12" s="154">
        <v>2840391</v>
      </c>
    </row>
    <row r="13" spans="1:7" x14ac:dyDescent="0.25">
      <c r="A13" s="90">
        <f t="shared" si="0"/>
        <v>9</v>
      </c>
      <c r="B13" s="153" t="s">
        <v>150</v>
      </c>
      <c r="C13" s="153" t="s">
        <v>41</v>
      </c>
      <c r="D13" s="151">
        <v>14</v>
      </c>
      <c r="E13" s="153" t="s">
        <v>42</v>
      </c>
      <c r="F13" s="153">
        <v>30</v>
      </c>
      <c r="G13" s="154">
        <v>4220457</v>
      </c>
    </row>
    <row r="14" spans="1:7" x14ac:dyDescent="0.25">
      <c r="A14" s="90">
        <f t="shared" si="0"/>
        <v>10</v>
      </c>
      <c r="B14" s="153" t="s">
        <v>151</v>
      </c>
      <c r="C14" s="153" t="s">
        <v>41</v>
      </c>
      <c r="D14" s="151">
        <v>16</v>
      </c>
      <c r="E14" s="153" t="s">
        <v>42</v>
      </c>
      <c r="F14" s="153">
        <v>30</v>
      </c>
      <c r="G14" s="154">
        <v>5994051</v>
      </c>
    </row>
    <row r="15" spans="1:7" x14ac:dyDescent="0.25">
      <c r="A15" s="90">
        <f t="shared" si="0"/>
        <v>11</v>
      </c>
      <c r="B15" s="153" t="s">
        <v>217</v>
      </c>
      <c r="C15" s="153" t="s">
        <v>37</v>
      </c>
      <c r="D15" s="151">
        <v>13</v>
      </c>
      <c r="E15" s="153" t="s">
        <v>38</v>
      </c>
      <c r="F15" s="153">
        <v>10</v>
      </c>
      <c r="G15" s="154">
        <f>1.1*788104</f>
        <v>866914.4</v>
      </c>
    </row>
    <row r="16" spans="1:7" x14ac:dyDescent="0.25">
      <c r="A16" s="90" t="str">
        <f t="shared" si="0"/>
        <v/>
      </c>
      <c r="B16" s="153"/>
      <c r="C16" s="153"/>
      <c r="D16" s="153"/>
      <c r="E16" s="153"/>
      <c r="F16" s="153"/>
      <c r="G16" s="154"/>
    </row>
    <row r="17" spans="1:7" x14ac:dyDescent="0.25">
      <c r="A17" s="90" t="str">
        <f t="shared" si="0"/>
        <v/>
      </c>
      <c r="B17" s="153"/>
      <c r="C17" s="153"/>
      <c r="D17" s="153"/>
      <c r="E17" s="153"/>
      <c r="F17" s="153"/>
      <c r="G17" s="153"/>
    </row>
    <row r="18" spans="1:7" x14ac:dyDescent="0.25">
      <c r="A18" s="90" t="str">
        <f t="shared" si="0"/>
        <v/>
      </c>
      <c r="B18" s="153"/>
      <c r="C18" s="153"/>
      <c r="D18" s="153"/>
      <c r="E18" s="153"/>
      <c r="F18" s="153"/>
      <c r="G18" s="153"/>
    </row>
    <row r="19" spans="1:7" x14ac:dyDescent="0.25">
      <c r="A19" s="90" t="str">
        <f t="shared" si="0"/>
        <v/>
      </c>
      <c r="B19" s="153"/>
      <c r="C19" s="153"/>
      <c r="D19" s="153"/>
      <c r="E19" s="153"/>
      <c r="F19" s="153"/>
      <c r="G19" s="153"/>
    </row>
    <row r="20" spans="1:7" x14ac:dyDescent="0.25">
      <c r="A20" s="90" t="str">
        <f t="shared" si="0"/>
        <v/>
      </c>
      <c r="B20" s="153"/>
      <c r="C20" s="153"/>
      <c r="D20" s="153"/>
      <c r="E20" s="153"/>
      <c r="F20" s="153"/>
      <c r="G20" s="153"/>
    </row>
    <row r="21" spans="1:7" x14ac:dyDescent="0.25">
      <c r="A21" s="90" t="str">
        <f t="shared" si="0"/>
        <v/>
      </c>
      <c r="B21" s="153"/>
      <c r="C21" s="153"/>
      <c r="D21" s="153"/>
      <c r="E21" s="153"/>
      <c r="F21" s="153"/>
      <c r="G21" s="153"/>
    </row>
    <row r="22" spans="1:7" x14ac:dyDescent="0.25">
      <c r="A22" s="90" t="str">
        <f t="shared" si="0"/>
        <v/>
      </c>
      <c r="B22" s="153"/>
      <c r="C22" s="153"/>
      <c r="D22" s="153"/>
      <c r="E22" s="153"/>
      <c r="F22" s="153"/>
      <c r="G22" s="153"/>
    </row>
    <row r="23" spans="1:7" x14ac:dyDescent="0.25">
      <c r="A23" s="90" t="str">
        <f t="shared" si="0"/>
        <v/>
      </c>
      <c r="B23" s="153"/>
      <c r="C23" s="153"/>
      <c r="D23" s="153"/>
      <c r="E23" s="153"/>
      <c r="F23" s="153"/>
      <c r="G23" s="153"/>
    </row>
    <row r="24" spans="1:7" x14ac:dyDescent="0.25">
      <c r="A24" s="90" t="str">
        <f t="shared" si="0"/>
        <v/>
      </c>
      <c r="B24" s="153"/>
      <c r="C24" s="153"/>
      <c r="D24" s="153"/>
      <c r="E24" s="153"/>
      <c r="F24" s="153"/>
      <c r="G24" s="153"/>
    </row>
    <row r="25" spans="1:7" x14ac:dyDescent="0.25">
      <c r="A25" s="90" t="str">
        <f t="shared" si="0"/>
        <v/>
      </c>
      <c r="B25" s="153"/>
      <c r="C25" s="153"/>
      <c r="D25" s="153"/>
      <c r="E25" s="153"/>
      <c r="F25" s="153"/>
      <c r="G25" s="153"/>
    </row>
    <row r="26" spans="1:7" x14ac:dyDescent="0.25">
      <c r="A26" s="90" t="str">
        <f t="shared" si="0"/>
        <v/>
      </c>
      <c r="B26" s="153"/>
      <c r="C26" s="153"/>
      <c r="D26" s="153"/>
      <c r="E26" s="153"/>
      <c r="F26" s="153"/>
      <c r="G26" s="153"/>
    </row>
    <row r="27" spans="1:7" x14ac:dyDescent="0.25">
      <c r="A27" s="90" t="str">
        <f t="shared" si="0"/>
        <v/>
      </c>
      <c r="B27" s="153"/>
      <c r="C27" s="153"/>
      <c r="D27" s="153"/>
      <c r="E27" s="153"/>
      <c r="F27" s="153"/>
      <c r="G27" s="153"/>
    </row>
    <row r="28" spans="1:7" x14ac:dyDescent="0.25">
      <c r="A28" s="90" t="str">
        <f t="shared" si="0"/>
        <v/>
      </c>
      <c r="B28" s="153"/>
      <c r="C28" s="153"/>
      <c r="D28" s="153"/>
      <c r="E28" s="153"/>
      <c r="F28" s="153"/>
      <c r="G28" s="153"/>
    </row>
    <row r="29" spans="1:7" x14ac:dyDescent="0.25">
      <c r="A29" s="90" t="str">
        <f t="shared" si="0"/>
        <v/>
      </c>
      <c r="B29" s="153"/>
      <c r="C29" s="153"/>
      <c r="D29" s="153"/>
      <c r="E29" s="153"/>
      <c r="F29" s="153"/>
      <c r="G29" s="153"/>
    </row>
    <row r="30" spans="1:7" x14ac:dyDescent="0.25">
      <c r="A30" s="90" t="str">
        <f t="shared" si="0"/>
        <v/>
      </c>
      <c r="B30" s="153"/>
      <c r="C30" s="153"/>
      <c r="D30" s="153"/>
      <c r="E30" s="153"/>
      <c r="F30" s="153"/>
      <c r="G30" s="153"/>
    </row>
    <row r="31" spans="1:7" x14ac:dyDescent="0.25">
      <c r="A31" s="90" t="str">
        <f t="shared" si="0"/>
        <v/>
      </c>
      <c r="B31" s="153"/>
      <c r="C31" s="153"/>
      <c r="D31" s="153"/>
      <c r="E31" s="153"/>
      <c r="F31" s="153"/>
      <c r="G31" s="153"/>
    </row>
    <row r="32" spans="1:7" x14ac:dyDescent="0.25">
      <c r="A32" s="90" t="str">
        <f t="shared" si="0"/>
        <v/>
      </c>
      <c r="B32" s="153"/>
      <c r="C32" s="153"/>
      <c r="D32" s="153"/>
      <c r="E32" s="153"/>
      <c r="F32" s="153"/>
      <c r="G32" s="153"/>
    </row>
    <row r="33" spans="1:7" x14ac:dyDescent="0.25">
      <c r="A33" s="90" t="str">
        <f t="shared" si="0"/>
        <v/>
      </c>
      <c r="B33" s="153"/>
      <c r="C33" s="153"/>
      <c r="D33" s="153"/>
      <c r="E33" s="153"/>
      <c r="F33" s="153"/>
      <c r="G33" s="153"/>
    </row>
    <row r="34" spans="1:7" x14ac:dyDescent="0.25">
      <c r="A34" s="90" t="str">
        <f t="shared" si="0"/>
        <v/>
      </c>
      <c r="B34" s="153"/>
      <c r="C34" s="153"/>
      <c r="D34" s="153"/>
      <c r="E34" s="153"/>
      <c r="F34" s="153"/>
      <c r="G34" s="153"/>
    </row>
    <row r="35" spans="1:7" x14ac:dyDescent="0.25">
      <c r="A35" s="90" t="str">
        <f t="shared" si="0"/>
        <v/>
      </c>
      <c r="B35" s="153"/>
      <c r="C35" s="153"/>
      <c r="D35" s="153"/>
      <c r="E35" s="153"/>
      <c r="F35" s="153"/>
      <c r="G35" s="153"/>
    </row>
    <row r="36" spans="1:7" x14ac:dyDescent="0.25">
      <c r="A36" s="90" t="str">
        <f t="shared" si="0"/>
        <v/>
      </c>
      <c r="B36" s="153"/>
      <c r="C36" s="153"/>
      <c r="D36" s="153"/>
      <c r="E36" s="153"/>
      <c r="F36" s="153"/>
      <c r="G36" s="153"/>
    </row>
    <row r="37" spans="1:7" x14ac:dyDescent="0.25">
      <c r="A37" s="90" t="str">
        <f t="shared" si="0"/>
        <v/>
      </c>
      <c r="B37" s="153"/>
      <c r="C37" s="153"/>
      <c r="D37" s="153"/>
      <c r="E37" s="153"/>
      <c r="F37" s="153"/>
      <c r="G37" s="153"/>
    </row>
    <row r="38" spans="1:7" x14ac:dyDescent="0.25">
      <c r="A38" s="90" t="str">
        <f t="shared" si="0"/>
        <v/>
      </c>
      <c r="B38" s="153"/>
      <c r="C38" s="153"/>
      <c r="D38" s="153"/>
      <c r="E38" s="153"/>
      <c r="F38" s="153"/>
      <c r="G38" s="153"/>
    </row>
    <row r="39" spans="1:7" x14ac:dyDescent="0.25">
      <c r="A39" s="90" t="str">
        <f t="shared" si="0"/>
        <v/>
      </c>
      <c r="B39" s="153"/>
      <c r="C39" s="153"/>
      <c r="D39" s="153"/>
      <c r="E39" s="153"/>
      <c r="F39" s="153"/>
      <c r="G39" s="153"/>
    </row>
    <row r="40" spans="1:7" x14ac:dyDescent="0.25">
      <c r="A40" s="90" t="str">
        <f t="shared" si="0"/>
        <v/>
      </c>
      <c r="B40" s="153"/>
      <c r="C40" s="153"/>
      <c r="D40" s="153"/>
      <c r="E40" s="153"/>
      <c r="F40" s="153"/>
      <c r="G40" s="153"/>
    </row>
    <row r="41" spans="1:7" x14ac:dyDescent="0.25">
      <c r="A41" s="90" t="str">
        <f t="shared" si="0"/>
        <v/>
      </c>
      <c r="B41" s="153"/>
      <c r="C41" s="153"/>
      <c r="D41" s="153"/>
      <c r="E41" s="153"/>
      <c r="F41" s="153"/>
      <c r="G41" s="153"/>
    </row>
    <row r="42" spans="1:7" x14ac:dyDescent="0.25">
      <c r="A42" s="90" t="str">
        <f t="shared" si="0"/>
        <v/>
      </c>
      <c r="B42" s="153"/>
      <c r="C42" s="153"/>
      <c r="D42" s="153"/>
      <c r="E42" s="153"/>
      <c r="F42" s="153"/>
      <c r="G42" s="153"/>
    </row>
    <row r="43" spans="1:7" x14ac:dyDescent="0.25">
      <c r="A43" s="90" t="str">
        <f t="shared" si="0"/>
        <v/>
      </c>
      <c r="B43" s="153"/>
      <c r="C43" s="153"/>
      <c r="D43" s="153"/>
      <c r="E43" s="153"/>
      <c r="F43" s="153"/>
      <c r="G43" s="153"/>
    </row>
    <row r="44" spans="1:7" x14ac:dyDescent="0.25">
      <c r="A44" s="90" t="str">
        <f t="shared" si="0"/>
        <v/>
      </c>
      <c r="B44" s="153"/>
      <c r="C44" s="153"/>
      <c r="D44" s="153"/>
      <c r="E44" s="153"/>
      <c r="F44" s="153"/>
      <c r="G44" s="153"/>
    </row>
    <row r="45" spans="1:7" x14ac:dyDescent="0.25">
      <c r="A45" s="90" t="str">
        <f t="shared" si="0"/>
        <v/>
      </c>
      <c r="B45" s="153"/>
      <c r="C45" s="153"/>
      <c r="D45" s="153"/>
      <c r="E45" s="153"/>
      <c r="F45" s="153"/>
      <c r="G45" s="153"/>
    </row>
    <row r="46" spans="1:7" x14ac:dyDescent="0.25">
      <c r="A46" s="90" t="str">
        <f t="shared" si="0"/>
        <v/>
      </c>
      <c r="B46" s="153"/>
      <c r="C46" s="153"/>
      <c r="D46" s="153"/>
      <c r="E46" s="153"/>
      <c r="F46" s="153"/>
      <c r="G46" s="153"/>
    </row>
    <row r="47" spans="1:7" x14ac:dyDescent="0.25">
      <c r="A47" s="90" t="str">
        <f t="shared" si="0"/>
        <v/>
      </c>
      <c r="B47" s="153"/>
      <c r="C47" s="153"/>
      <c r="D47" s="153"/>
      <c r="E47" s="153"/>
      <c r="F47" s="153"/>
      <c r="G47" s="153"/>
    </row>
    <row r="48" spans="1:7" x14ac:dyDescent="0.25">
      <c r="A48" s="90" t="str">
        <f t="shared" si="0"/>
        <v/>
      </c>
      <c r="B48" s="153"/>
      <c r="C48" s="153"/>
      <c r="D48" s="153"/>
      <c r="E48" s="153"/>
      <c r="F48" s="153"/>
      <c r="G48" s="153"/>
    </row>
    <row r="49" spans="1:7" x14ac:dyDescent="0.25">
      <c r="A49" s="90" t="str">
        <f t="shared" si="0"/>
        <v/>
      </c>
      <c r="B49" s="153"/>
      <c r="C49" s="153"/>
      <c r="D49" s="153"/>
      <c r="E49" s="153"/>
      <c r="F49" s="153"/>
      <c r="G49" s="153"/>
    </row>
    <row r="50" spans="1:7" x14ac:dyDescent="0.25">
      <c r="A50" s="90" t="str">
        <f t="shared" si="0"/>
        <v/>
      </c>
      <c r="B50" s="153"/>
      <c r="C50" s="153"/>
      <c r="D50" s="153"/>
      <c r="E50" s="153"/>
      <c r="F50" s="153"/>
      <c r="G50" s="153"/>
    </row>
    <row r="51" spans="1:7" x14ac:dyDescent="0.25">
      <c r="A51" s="90" t="str">
        <f t="shared" si="0"/>
        <v/>
      </c>
      <c r="B51" s="153"/>
      <c r="C51" s="153"/>
      <c r="D51" s="153"/>
      <c r="E51" s="153"/>
      <c r="F51" s="153"/>
      <c r="G51" s="153"/>
    </row>
    <row r="52" spans="1:7" x14ac:dyDescent="0.25">
      <c r="A52" s="90" t="str">
        <f t="shared" si="0"/>
        <v/>
      </c>
      <c r="B52" s="153"/>
      <c r="C52" s="153"/>
      <c r="D52" s="153"/>
      <c r="E52" s="153"/>
      <c r="F52" s="153"/>
      <c r="G52" s="153"/>
    </row>
    <row r="53" spans="1:7" x14ac:dyDescent="0.25">
      <c r="A53" s="90" t="str">
        <f t="shared" si="0"/>
        <v/>
      </c>
      <c r="B53" s="153"/>
      <c r="C53" s="153"/>
      <c r="D53" s="153"/>
      <c r="E53" s="153"/>
      <c r="F53" s="153"/>
      <c r="G53" s="153"/>
    </row>
    <row r="54" spans="1:7" x14ac:dyDescent="0.25">
      <c r="A54" s="90" t="str">
        <f t="shared" si="0"/>
        <v/>
      </c>
      <c r="B54" s="153"/>
      <c r="C54" s="153"/>
      <c r="D54" s="153"/>
      <c r="E54" s="153"/>
      <c r="F54" s="153"/>
      <c r="G54" s="153"/>
    </row>
    <row r="55" spans="1:7" x14ac:dyDescent="0.25">
      <c r="A55" s="90" t="str">
        <f t="shared" si="0"/>
        <v/>
      </c>
      <c r="B55" s="153"/>
      <c r="C55" s="153"/>
      <c r="D55" s="153"/>
      <c r="E55" s="153"/>
      <c r="F55" s="153"/>
      <c r="G55" s="153"/>
    </row>
    <row r="56" spans="1:7" x14ac:dyDescent="0.25">
      <c r="A56" s="90" t="str">
        <f t="shared" si="0"/>
        <v/>
      </c>
      <c r="B56" s="153"/>
      <c r="C56" s="153"/>
      <c r="D56" s="153"/>
      <c r="E56" s="153"/>
      <c r="F56" s="153"/>
      <c r="G56" s="153"/>
    </row>
    <row r="57" spans="1:7" x14ac:dyDescent="0.25">
      <c r="A57" s="90" t="str">
        <f t="shared" si="0"/>
        <v/>
      </c>
      <c r="B57" s="153"/>
      <c r="C57" s="153"/>
      <c r="D57" s="153"/>
      <c r="E57" s="153"/>
      <c r="F57" s="153"/>
      <c r="G57" s="153"/>
    </row>
    <row r="58" spans="1:7" x14ac:dyDescent="0.25">
      <c r="A58" s="90" t="str">
        <f t="shared" si="0"/>
        <v/>
      </c>
      <c r="B58" s="153"/>
      <c r="C58" s="153"/>
      <c r="D58" s="153"/>
      <c r="E58" s="153"/>
      <c r="F58" s="153"/>
      <c r="G58" s="153"/>
    </row>
    <row r="59" spans="1:7" x14ac:dyDescent="0.25">
      <c r="A59" s="90" t="str">
        <f t="shared" si="0"/>
        <v/>
      </c>
      <c r="B59" s="153"/>
      <c r="C59" s="153"/>
      <c r="D59" s="153"/>
      <c r="E59" s="153"/>
      <c r="F59" s="153"/>
      <c r="G59" s="153"/>
    </row>
    <row r="60" spans="1:7" x14ac:dyDescent="0.25">
      <c r="A60" s="90" t="str">
        <f t="shared" si="0"/>
        <v/>
      </c>
      <c r="B60" s="153"/>
      <c r="C60" s="153"/>
      <c r="D60" s="153"/>
      <c r="E60" s="153"/>
      <c r="F60" s="153"/>
      <c r="G60" s="153"/>
    </row>
    <row r="61" spans="1:7" x14ac:dyDescent="0.25">
      <c r="A61" s="90" t="str">
        <f t="shared" si="0"/>
        <v/>
      </c>
      <c r="B61" s="153"/>
      <c r="C61" s="153"/>
      <c r="D61" s="153"/>
      <c r="E61" s="153"/>
      <c r="F61" s="153"/>
      <c r="G61" s="153"/>
    </row>
    <row r="62" spans="1:7" x14ac:dyDescent="0.25">
      <c r="A62" s="90" t="str">
        <f t="shared" si="0"/>
        <v/>
      </c>
      <c r="B62" s="153"/>
      <c r="C62" s="153"/>
      <c r="D62" s="153"/>
      <c r="E62" s="153"/>
      <c r="F62" s="153"/>
      <c r="G62" s="153"/>
    </row>
    <row r="63" spans="1:7" x14ac:dyDescent="0.25">
      <c r="A63" s="90" t="str">
        <f t="shared" si="0"/>
        <v/>
      </c>
      <c r="B63" s="153"/>
      <c r="C63" s="153"/>
      <c r="D63" s="153"/>
      <c r="E63" s="153"/>
      <c r="F63" s="153"/>
      <c r="G63" s="153"/>
    </row>
    <row r="64" spans="1:7" x14ac:dyDescent="0.25">
      <c r="A64" s="90" t="str">
        <f t="shared" si="0"/>
        <v/>
      </c>
      <c r="B64" s="153"/>
      <c r="C64" s="153"/>
      <c r="D64" s="153"/>
      <c r="E64" s="153"/>
      <c r="F64" s="153"/>
      <c r="G64" s="153"/>
    </row>
    <row r="65" spans="1:7" x14ac:dyDescent="0.25">
      <c r="A65" s="90" t="str">
        <f t="shared" si="0"/>
        <v/>
      </c>
      <c r="B65" s="153"/>
      <c r="C65" s="153"/>
      <c r="D65" s="153"/>
      <c r="E65" s="153"/>
      <c r="F65" s="153"/>
      <c r="G65" s="153"/>
    </row>
    <row r="66" spans="1:7" x14ac:dyDescent="0.25">
      <c r="A66" s="90" t="str">
        <f t="shared" si="0"/>
        <v/>
      </c>
      <c r="B66" s="153"/>
      <c r="C66" s="153"/>
      <c r="D66" s="153"/>
      <c r="E66" s="153"/>
      <c r="F66" s="153"/>
      <c r="G66" s="153"/>
    </row>
    <row r="67" spans="1:7" x14ac:dyDescent="0.25">
      <c r="A67" s="90" t="str">
        <f t="shared" si="0"/>
        <v/>
      </c>
      <c r="B67" s="153"/>
      <c r="C67" s="153"/>
      <c r="D67" s="153"/>
      <c r="E67" s="153"/>
      <c r="F67" s="153"/>
      <c r="G67" s="153"/>
    </row>
    <row r="68" spans="1:7" x14ac:dyDescent="0.25">
      <c r="A68" s="90" t="str">
        <f t="shared" si="0"/>
        <v/>
      </c>
      <c r="B68" s="153"/>
      <c r="C68" s="153"/>
      <c r="D68" s="153"/>
      <c r="E68" s="153"/>
      <c r="F68" s="153"/>
      <c r="G68" s="153"/>
    </row>
    <row r="69" spans="1:7" x14ac:dyDescent="0.25">
      <c r="A69" s="90" t="str">
        <f t="shared" si="0"/>
        <v/>
      </c>
      <c r="B69" s="153"/>
      <c r="C69" s="153"/>
      <c r="D69" s="153"/>
      <c r="E69" s="153"/>
      <c r="F69" s="153"/>
      <c r="G69" s="153"/>
    </row>
    <row r="70" spans="1:7" x14ac:dyDescent="0.25">
      <c r="A70" s="90" t="str">
        <f t="shared" si="0"/>
        <v/>
      </c>
      <c r="B70" s="153"/>
      <c r="C70" s="153"/>
      <c r="D70" s="153"/>
      <c r="E70" s="153"/>
      <c r="F70" s="153"/>
      <c r="G70" s="153"/>
    </row>
    <row r="71" spans="1:7" x14ac:dyDescent="0.25">
      <c r="A71" s="90" t="str">
        <f t="shared" ref="A71:A134" si="1">IF(B71&lt;&gt;"",A70+1,"")</f>
        <v/>
      </c>
      <c r="B71" s="153"/>
      <c r="C71" s="153"/>
      <c r="D71" s="153"/>
      <c r="E71" s="153"/>
      <c r="F71" s="153"/>
      <c r="G71" s="153"/>
    </row>
    <row r="72" spans="1:7" x14ac:dyDescent="0.25">
      <c r="A72" s="90" t="str">
        <f t="shared" si="1"/>
        <v/>
      </c>
      <c r="B72" s="153"/>
      <c r="C72" s="153"/>
      <c r="D72" s="153"/>
      <c r="E72" s="153"/>
      <c r="F72" s="153"/>
      <c r="G72" s="153"/>
    </row>
    <row r="73" spans="1:7" x14ac:dyDescent="0.25">
      <c r="A73" s="90" t="str">
        <f t="shared" si="1"/>
        <v/>
      </c>
      <c r="B73" s="153"/>
      <c r="C73" s="153"/>
      <c r="D73" s="153"/>
      <c r="E73" s="153"/>
      <c r="F73" s="153"/>
      <c r="G73" s="153"/>
    </row>
    <row r="74" spans="1:7" x14ac:dyDescent="0.25">
      <c r="A74" s="90" t="str">
        <f t="shared" si="1"/>
        <v/>
      </c>
      <c r="B74" s="153"/>
      <c r="C74" s="153"/>
      <c r="D74" s="153"/>
      <c r="E74" s="153"/>
      <c r="F74" s="153"/>
      <c r="G74" s="153"/>
    </row>
    <row r="75" spans="1:7" x14ac:dyDescent="0.25">
      <c r="A75" s="90" t="str">
        <f t="shared" si="1"/>
        <v/>
      </c>
      <c r="B75" s="153"/>
      <c r="C75" s="153"/>
      <c r="D75" s="153"/>
      <c r="E75" s="153"/>
      <c r="F75" s="153"/>
      <c r="G75" s="153"/>
    </row>
    <row r="76" spans="1:7" x14ac:dyDescent="0.25">
      <c r="A76" s="90" t="str">
        <f t="shared" si="1"/>
        <v/>
      </c>
      <c r="B76" s="153"/>
      <c r="C76" s="153"/>
      <c r="D76" s="153"/>
      <c r="E76" s="153"/>
      <c r="F76" s="153"/>
      <c r="G76" s="153"/>
    </row>
    <row r="77" spans="1:7" x14ac:dyDescent="0.25">
      <c r="A77" s="90" t="str">
        <f t="shared" si="1"/>
        <v/>
      </c>
      <c r="B77" s="153"/>
      <c r="C77" s="153"/>
      <c r="D77" s="153"/>
      <c r="E77" s="153"/>
      <c r="F77" s="153"/>
      <c r="G77" s="153"/>
    </row>
    <row r="78" spans="1:7" x14ac:dyDescent="0.25">
      <c r="A78" s="90" t="str">
        <f t="shared" si="1"/>
        <v/>
      </c>
      <c r="B78" s="153"/>
      <c r="C78" s="153"/>
      <c r="D78" s="153"/>
      <c r="E78" s="153"/>
      <c r="F78" s="153"/>
      <c r="G78" s="153"/>
    </row>
    <row r="79" spans="1:7" x14ac:dyDescent="0.25">
      <c r="A79" s="90" t="str">
        <f t="shared" si="1"/>
        <v/>
      </c>
      <c r="B79" s="153"/>
      <c r="C79" s="153"/>
      <c r="D79" s="153"/>
      <c r="E79" s="153"/>
      <c r="F79" s="153"/>
      <c r="G79" s="153"/>
    </row>
    <row r="80" spans="1:7" x14ac:dyDescent="0.25">
      <c r="A80" s="90" t="str">
        <f t="shared" si="1"/>
        <v/>
      </c>
      <c r="B80" s="153"/>
      <c r="C80" s="153"/>
      <c r="D80" s="153"/>
      <c r="E80" s="153"/>
      <c r="F80" s="153"/>
      <c r="G80" s="153"/>
    </row>
    <row r="81" spans="1:7" x14ac:dyDescent="0.25">
      <c r="A81" s="90" t="str">
        <f t="shared" si="1"/>
        <v/>
      </c>
      <c r="B81" s="153"/>
      <c r="C81" s="153"/>
      <c r="D81" s="153"/>
      <c r="E81" s="153"/>
      <c r="F81" s="153"/>
      <c r="G81" s="153"/>
    </row>
    <row r="82" spans="1:7" x14ac:dyDescent="0.25">
      <c r="A82" s="90" t="str">
        <f t="shared" si="1"/>
        <v/>
      </c>
      <c r="B82" s="153"/>
      <c r="C82" s="153"/>
      <c r="D82" s="153"/>
      <c r="E82" s="153"/>
      <c r="F82" s="153"/>
      <c r="G82" s="153"/>
    </row>
    <row r="83" spans="1:7" x14ac:dyDescent="0.25">
      <c r="A83" s="90" t="str">
        <f t="shared" si="1"/>
        <v/>
      </c>
      <c r="B83" s="153"/>
      <c r="C83" s="153"/>
      <c r="D83" s="153"/>
      <c r="E83" s="153"/>
      <c r="F83" s="153"/>
      <c r="G83" s="153"/>
    </row>
    <row r="84" spans="1:7" x14ac:dyDescent="0.25">
      <c r="A84" s="90" t="str">
        <f t="shared" si="1"/>
        <v/>
      </c>
      <c r="B84" s="153"/>
      <c r="C84" s="153"/>
      <c r="D84" s="153"/>
      <c r="E84" s="153"/>
      <c r="F84" s="153"/>
      <c r="G84" s="153"/>
    </row>
    <row r="85" spans="1:7" x14ac:dyDescent="0.25">
      <c r="A85" s="90" t="str">
        <f t="shared" si="1"/>
        <v/>
      </c>
      <c r="B85" s="153"/>
      <c r="C85" s="153"/>
      <c r="D85" s="153"/>
      <c r="E85" s="153"/>
      <c r="F85" s="153"/>
      <c r="G85" s="153"/>
    </row>
    <row r="86" spans="1:7" x14ac:dyDescent="0.25">
      <c r="A86" s="90" t="str">
        <f t="shared" si="1"/>
        <v/>
      </c>
      <c r="B86" s="153"/>
      <c r="C86" s="153"/>
      <c r="D86" s="153"/>
      <c r="E86" s="153"/>
      <c r="F86" s="153"/>
      <c r="G86" s="153"/>
    </row>
    <row r="87" spans="1:7" x14ac:dyDescent="0.25">
      <c r="A87" s="90" t="str">
        <f t="shared" si="1"/>
        <v/>
      </c>
      <c r="B87" s="153"/>
      <c r="C87" s="153"/>
      <c r="D87" s="153"/>
      <c r="E87" s="153"/>
      <c r="F87" s="153"/>
      <c r="G87" s="153"/>
    </row>
    <row r="88" spans="1:7" x14ac:dyDescent="0.25">
      <c r="A88" s="90" t="str">
        <f t="shared" si="1"/>
        <v/>
      </c>
      <c r="B88" s="153"/>
      <c r="C88" s="153"/>
      <c r="D88" s="153"/>
      <c r="E88" s="153"/>
      <c r="F88" s="153"/>
      <c r="G88" s="153"/>
    </row>
    <row r="89" spans="1:7" x14ac:dyDescent="0.25">
      <c r="A89" s="90" t="str">
        <f t="shared" si="1"/>
        <v/>
      </c>
      <c r="B89" s="153"/>
      <c r="C89" s="153"/>
      <c r="D89" s="153"/>
      <c r="E89" s="153"/>
      <c r="F89" s="153"/>
      <c r="G89" s="153"/>
    </row>
    <row r="90" spans="1:7" x14ac:dyDescent="0.25">
      <c r="A90" s="90" t="str">
        <f t="shared" si="1"/>
        <v/>
      </c>
      <c r="B90" s="153"/>
      <c r="C90" s="153"/>
      <c r="D90" s="153"/>
      <c r="E90" s="153"/>
      <c r="F90" s="153"/>
      <c r="G90" s="153"/>
    </row>
    <row r="91" spans="1:7" x14ac:dyDescent="0.25">
      <c r="A91" s="90" t="str">
        <f t="shared" si="1"/>
        <v/>
      </c>
      <c r="B91" s="153"/>
      <c r="C91" s="153"/>
      <c r="D91" s="153"/>
      <c r="E91" s="153"/>
      <c r="F91" s="153"/>
      <c r="G91" s="153"/>
    </row>
    <row r="92" spans="1:7" x14ac:dyDescent="0.25">
      <c r="A92" s="90" t="str">
        <f t="shared" si="1"/>
        <v/>
      </c>
      <c r="B92" s="153"/>
      <c r="C92" s="153"/>
      <c r="D92" s="153"/>
      <c r="E92" s="153"/>
      <c r="F92" s="153"/>
      <c r="G92" s="153"/>
    </row>
    <row r="93" spans="1:7" x14ac:dyDescent="0.25">
      <c r="A93" s="90" t="str">
        <f t="shared" si="1"/>
        <v/>
      </c>
      <c r="B93" s="153"/>
      <c r="C93" s="153"/>
      <c r="D93" s="153"/>
      <c r="E93" s="153"/>
      <c r="F93" s="153"/>
      <c r="G93" s="153"/>
    </row>
    <row r="94" spans="1:7" x14ac:dyDescent="0.25">
      <c r="A94" s="90" t="str">
        <f t="shared" si="1"/>
        <v/>
      </c>
      <c r="B94" s="153"/>
      <c r="C94" s="153"/>
      <c r="D94" s="153"/>
      <c r="E94" s="153"/>
      <c r="F94" s="153"/>
      <c r="G94" s="153"/>
    </row>
    <row r="95" spans="1:7" x14ac:dyDescent="0.25">
      <c r="A95" s="90" t="str">
        <f t="shared" si="1"/>
        <v/>
      </c>
      <c r="B95" s="153"/>
      <c r="C95" s="153"/>
      <c r="D95" s="153"/>
      <c r="E95" s="153"/>
      <c r="F95" s="153"/>
      <c r="G95" s="153"/>
    </row>
    <row r="96" spans="1:7" x14ac:dyDescent="0.25">
      <c r="A96" s="90" t="str">
        <f t="shared" si="1"/>
        <v/>
      </c>
      <c r="B96" s="153"/>
      <c r="C96" s="153"/>
      <c r="D96" s="153"/>
      <c r="E96" s="153"/>
      <c r="F96" s="153"/>
      <c r="G96" s="153"/>
    </row>
    <row r="97" spans="1:7" x14ac:dyDescent="0.25">
      <c r="A97" s="90" t="str">
        <f t="shared" si="1"/>
        <v/>
      </c>
      <c r="B97" s="153"/>
      <c r="C97" s="153"/>
      <c r="D97" s="153"/>
      <c r="E97" s="153"/>
      <c r="F97" s="153"/>
      <c r="G97" s="153"/>
    </row>
    <row r="98" spans="1:7" x14ac:dyDescent="0.25">
      <c r="A98" s="90" t="str">
        <f t="shared" si="1"/>
        <v/>
      </c>
      <c r="B98" s="153"/>
      <c r="C98" s="153"/>
      <c r="D98" s="153"/>
      <c r="E98" s="153"/>
      <c r="F98" s="153"/>
      <c r="G98" s="153"/>
    </row>
    <row r="99" spans="1:7" x14ac:dyDescent="0.25">
      <c r="A99" s="90" t="str">
        <f t="shared" si="1"/>
        <v/>
      </c>
      <c r="B99" s="153"/>
      <c r="C99" s="153"/>
      <c r="D99" s="153"/>
      <c r="E99" s="153"/>
      <c r="F99" s="153"/>
      <c r="G99" s="153"/>
    </row>
    <row r="100" spans="1:7" x14ac:dyDescent="0.25">
      <c r="A100" s="90" t="str">
        <f t="shared" si="1"/>
        <v/>
      </c>
      <c r="B100" s="153"/>
      <c r="C100" s="153"/>
      <c r="D100" s="153"/>
      <c r="E100" s="153"/>
      <c r="F100" s="153"/>
      <c r="G100" s="153"/>
    </row>
    <row r="101" spans="1:7" x14ac:dyDescent="0.25">
      <c r="A101" s="90" t="str">
        <f t="shared" si="1"/>
        <v/>
      </c>
      <c r="B101" s="153"/>
      <c r="C101" s="153"/>
      <c r="D101" s="153"/>
      <c r="E101" s="153"/>
      <c r="F101" s="153"/>
      <c r="G101" s="153"/>
    </row>
    <row r="102" spans="1:7" x14ac:dyDescent="0.25">
      <c r="A102" s="90" t="str">
        <f t="shared" si="1"/>
        <v/>
      </c>
      <c r="B102" s="153"/>
      <c r="C102" s="153"/>
      <c r="D102" s="153"/>
      <c r="E102" s="153"/>
      <c r="F102" s="153"/>
      <c r="G102" s="153"/>
    </row>
    <row r="103" spans="1:7" x14ac:dyDescent="0.25">
      <c r="A103" s="90" t="str">
        <f t="shared" si="1"/>
        <v/>
      </c>
      <c r="B103" s="153"/>
      <c r="C103" s="153"/>
      <c r="D103" s="153"/>
      <c r="E103" s="153"/>
      <c r="F103" s="153"/>
      <c r="G103" s="153"/>
    </row>
    <row r="104" spans="1:7" x14ac:dyDescent="0.25">
      <c r="A104" s="90" t="str">
        <f t="shared" si="1"/>
        <v/>
      </c>
      <c r="B104" s="153"/>
      <c r="C104" s="153"/>
      <c r="D104" s="153"/>
      <c r="E104" s="153"/>
      <c r="F104" s="153"/>
      <c r="G104" s="153"/>
    </row>
    <row r="105" spans="1:7" x14ac:dyDescent="0.25">
      <c r="A105" s="90" t="str">
        <f t="shared" si="1"/>
        <v/>
      </c>
      <c r="B105" s="153"/>
      <c r="C105" s="153"/>
      <c r="D105" s="153"/>
      <c r="E105" s="153"/>
      <c r="F105" s="153"/>
      <c r="G105" s="153"/>
    </row>
    <row r="106" spans="1:7" x14ac:dyDescent="0.25">
      <c r="A106" s="90" t="str">
        <f t="shared" si="1"/>
        <v/>
      </c>
      <c r="B106" s="153"/>
      <c r="C106" s="153"/>
      <c r="D106" s="153"/>
      <c r="E106" s="153"/>
      <c r="F106" s="153"/>
      <c r="G106" s="153"/>
    </row>
    <row r="107" spans="1:7" x14ac:dyDescent="0.25">
      <c r="A107" s="90" t="str">
        <f t="shared" si="1"/>
        <v/>
      </c>
      <c r="B107" s="153"/>
      <c r="C107" s="153"/>
      <c r="D107" s="153"/>
      <c r="E107" s="153"/>
      <c r="F107" s="153"/>
      <c r="G107" s="153"/>
    </row>
    <row r="108" spans="1:7" x14ac:dyDescent="0.25">
      <c r="A108" s="90" t="str">
        <f t="shared" si="1"/>
        <v/>
      </c>
      <c r="B108" s="153"/>
      <c r="C108" s="153"/>
      <c r="D108" s="153"/>
      <c r="E108" s="153"/>
      <c r="F108" s="153"/>
      <c r="G108" s="153"/>
    </row>
    <row r="109" spans="1:7" x14ac:dyDescent="0.25">
      <c r="A109" s="90" t="str">
        <f t="shared" si="1"/>
        <v/>
      </c>
      <c r="B109" s="153"/>
      <c r="C109" s="153"/>
      <c r="D109" s="153"/>
      <c r="E109" s="153"/>
      <c r="F109" s="153"/>
      <c r="G109" s="153"/>
    </row>
    <row r="110" spans="1:7" x14ac:dyDescent="0.25">
      <c r="A110" s="90" t="str">
        <f t="shared" si="1"/>
        <v/>
      </c>
      <c r="B110" s="153"/>
      <c r="C110" s="153"/>
      <c r="D110" s="153"/>
      <c r="E110" s="153"/>
      <c r="F110" s="153"/>
      <c r="G110" s="153"/>
    </row>
    <row r="111" spans="1:7" x14ac:dyDescent="0.25">
      <c r="A111" s="90" t="str">
        <f t="shared" si="1"/>
        <v/>
      </c>
      <c r="B111" s="153"/>
      <c r="C111" s="153"/>
      <c r="D111" s="153"/>
      <c r="E111" s="153"/>
      <c r="F111" s="153"/>
      <c r="G111" s="153"/>
    </row>
    <row r="112" spans="1:7" x14ac:dyDescent="0.25">
      <c r="A112" s="90" t="str">
        <f t="shared" si="1"/>
        <v/>
      </c>
      <c r="B112" s="153"/>
      <c r="C112" s="153"/>
      <c r="D112" s="153"/>
      <c r="E112" s="153"/>
      <c r="F112" s="153"/>
      <c r="G112" s="153"/>
    </row>
    <row r="113" spans="1:7" x14ac:dyDescent="0.25">
      <c r="A113" s="90" t="str">
        <f t="shared" si="1"/>
        <v/>
      </c>
      <c r="B113" s="153"/>
      <c r="C113" s="153"/>
      <c r="D113" s="153"/>
      <c r="E113" s="153"/>
      <c r="F113" s="153"/>
      <c r="G113" s="153"/>
    </row>
    <row r="114" spans="1:7" x14ac:dyDescent="0.25">
      <c r="A114" s="90" t="str">
        <f t="shared" si="1"/>
        <v/>
      </c>
      <c r="B114" s="153"/>
      <c r="C114" s="153"/>
      <c r="D114" s="153"/>
      <c r="E114" s="153"/>
      <c r="F114" s="153"/>
      <c r="G114" s="153"/>
    </row>
    <row r="115" spans="1:7" x14ac:dyDescent="0.25">
      <c r="A115" s="90" t="str">
        <f t="shared" si="1"/>
        <v/>
      </c>
      <c r="B115" s="153"/>
      <c r="C115" s="153"/>
      <c r="D115" s="153"/>
      <c r="E115" s="153"/>
      <c r="F115" s="153"/>
      <c r="G115" s="153"/>
    </row>
    <row r="116" spans="1:7" x14ac:dyDescent="0.25">
      <c r="A116" s="90" t="str">
        <f t="shared" si="1"/>
        <v/>
      </c>
      <c r="B116" s="153"/>
      <c r="C116" s="153"/>
      <c r="D116" s="153"/>
      <c r="E116" s="153"/>
      <c r="F116" s="153"/>
      <c r="G116" s="153"/>
    </row>
    <row r="117" spans="1:7" x14ac:dyDescent="0.25">
      <c r="A117" s="90" t="str">
        <f t="shared" si="1"/>
        <v/>
      </c>
      <c r="B117" s="153"/>
      <c r="C117" s="153"/>
      <c r="D117" s="153"/>
      <c r="E117" s="153"/>
      <c r="F117" s="153"/>
      <c r="G117" s="153"/>
    </row>
    <row r="118" spans="1:7" x14ac:dyDescent="0.25">
      <c r="A118" s="90" t="str">
        <f t="shared" si="1"/>
        <v/>
      </c>
      <c r="B118" s="153"/>
      <c r="C118" s="153"/>
      <c r="D118" s="153"/>
      <c r="E118" s="153"/>
      <c r="F118" s="153"/>
      <c r="G118" s="153"/>
    </row>
    <row r="119" spans="1:7" x14ac:dyDescent="0.25">
      <c r="A119" s="90" t="str">
        <f t="shared" si="1"/>
        <v/>
      </c>
      <c r="B119" s="153"/>
      <c r="C119" s="153"/>
      <c r="D119" s="153"/>
      <c r="E119" s="153"/>
      <c r="F119" s="153"/>
      <c r="G119" s="153"/>
    </row>
    <row r="120" spans="1:7" x14ac:dyDescent="0.25">
      <c r="A120" s="90" t="str">
        <f t="shared" si="1"/>
        <v/>
      </c>
      <c r="B120" s="153"/>
      <c r="C120" s="153"/>
      <c r="D120" s="153"/>
      <c r="E120" s="153"/>
      <c r="F120" s="153"/>
      <c r="G120" s="153"/>
    </row>
    <row r="121" spans="1:7" x14ac:dyDescent="0.25">
      <c r="A121" s="90" t="str">
        <f t="shared" si="1"/>
        <v/>
      </c>
      <c r="B121" s="153"/>
      <c r="C121" s="153"/>
      <c r="D121" s="153"/>
      <c r="E121" s="153"/>
      <c r="F121" s="153"/>
      <c r="G121" s="153"/>
    </row>
    <row r="122" spans="1:7" x14ac:dyDescent="0.25">
      <c r="A122" s="90" t="str">
        <f t="shared" si="1"/>
        <v/>
      </c>
      <c r="B122" s="153"/>
      <c r="C122" s="153"/>
      <c r="D122" s="153"/>
      <c r="E122" s="153"/>
      <c r="F122" s="153"/>
      <c r="G122" s="153"/>
    </row>
    <row r="123" spans="1:7" x14ac:dyDescent="0.25">
      <c r="A123" s="90" t="str">
        <f t="shared" si="1"/>
        <v/>
      </c>
      <c r="B123" s="153"/>
      <c r="C123" s="153"/>
      <c r="D123" s="153"/>
      <c r="E123" s="153"/>
      <c r="F123" s="153"/>
      <c r="G123" s="153"/>
    </row>
    <row r="124" spans="1:7" x14ac:dyDescent="0.25">
      <c r="A124" s="90" t="str">
        <f t="shared" si="1"/>
        <v/>
      </c>
      <c r="B124" s="153"/>
      <c r="C124" s="153"/>
      <c r="D124" s="153"/>
      <c r="E124" s="153"/>
      <c r="F124" s="153"/>
      <c r="G124" s="153"/>
    </row>
    <row r="125" spans="1:7" x14ac:dyDescent="0.25">
      <c r="A125" s="90" t="str">
        <f t="shared" si="1"/>
        <v/>
      </c>
      <c r="B125" s="153"/>
      <c r="C125" s="153"/>
      <c r="D125" s="153"/>
      <c r="E125" s="153"/>
      <c r="F125" s="153"/>
      <c r="G125" s="153"/>
    </row>
    <row r="126" spans="1:7" x14ac:dyDescent="0.25">
      <c r="A126" s="90" t="str">
        <f t="shared" si="1"/>
        <v/>
      </c>
      <c r="B126" s="153"/>
      <c r="C126" s="153"/>
      <c r="D126" s="153"/>
      <c r="E126" s="153"/>
      <c r="F126" s="153"/>
      <c r="G126" s="153"/>
    </row>
    <row r="127" spans="1:7" x14ac:dyDescent="0.25">
      <c r="A127" s="90" t="str">
        <f t="shared" si="1"/>
        <v/>
      </c>
      <c r="B127" s="153"/>
      <c r="C127" s="153"/>
      <c r="D127" s="153"/>
      <c r="E127" s="153"/>
      <c r="F127" s="153"/>
      <c r="G127" s="153"/>
    </row>
    <row r="128" spans="1:7" x14ac:dyDescent="0.25">
      <c r="A128" s="90" t="str">
        <f t="shared" si="1"/>
        <v/>
      </c>
      <c r="B128" s="153"/>
      <c r="C128" s="153"/>
      <c r="D128" s="153"/>
      <c r="E128" s="153"/>
      <c r="F128" s="153"/>
      <c r="G128" s="153"/>
    </row>
    <row r="129" spans="1:7" x14ac:dyDescent="0.25">
      <c r="A129" s="90" t="str">
        <f t="shared" si="1"/>
        <v/>
      </c>
      <c r="B129" s="153"/>
      <c r="C129" s="153"/>
      <c r="D129" s="153"/>
      <c r="E129" s="153"/>
      <c r="F129" s="153"/>
      <c r="G129" s="153"/>
    </row>
    <row r="130" spans="1:7" x14ac:dyDescent="0.25">
      <c r="A130" s="90" t="str">
        <f t="shared" si="1"/>
        <v/>
      </c>
      <c r="B130" s="153"/>
      <c r="C130" s="153"/>
      <c r="D130" s="153"/>
      <c r="E130" s="153"/>
      <c r="F130" s="153"/>
      <c r="G130" s="153"/>
    </row>
    <row r="131" spans="1:7" x14ac:dyDescent="0.25">
      <c r="A131" s="90" t="str">
        <f t="shared" si="1"/>
        <v/>
      </c>
      <c r="B131" s="153"/>
      <c r="C131" s="153"/>
      <c r="D131" s="153"/>
      <c r="E131" s="153"/>
      <c r="F131" s="153"/>
      <c r="G131" s="153"/>
    </row>
    <row r="132" spans="1:7" x14ac:dyDescent="0.25">
      <c r="A132" s="90" t="str">
        <f t="shared" si="1"/>
        <v/>
      </c>
      <c r="B132" s="153"/>
      <c r="C132" s="153"/>
      <c r="D132" s="153"/>
      <c r="E132" s="153"/>
      <c r="F132" s="153"/>
      <c r="G132" s="153"/>
    </row>
    <row r="133" spans="1:7" x14ac:dyDescent="0.25">
      <c r="A133" s="90" t="str">
        <f t="shared" si="1"/>
        <v/>
      </c>
      <c r="B133" s="153"/>
      <c r="C133" s="153"/>
      <c r="D133" s="153"/>
      <c r="E133" s="153"/>
      <c r="F133" s="153"/>
      <c r="G133" s="153"/>
    </row>
    <row r="134" spans="1:7" x14ac:dyDescent="0.25">
      <c r="A134" s="90" t="str">
        <f t="shared" si="1"/>
        <v/>
      </c>
      <c r="B134" s="153"/>
      <c r="C134" s="153"/>
      <c r="D134" s="153"/>
      <c r="E134" s="153"/>
      <c r="F134" s="153"/>
      <c r="G134" s="153"/>
    </row>
    <row r="135" spans="1:7" x14ac:dyDescent="0.25">
      <c r="A135" s="90" t="str">
        <f t="shared" ref="A135:A198" si="2">IF(B135&lt;&gt;"",A134+1,"")</f>
        <v/>
      </c>
      <c r="B135" s="153"/>
      <c r="C135" s="153"/>
      <c r="D135" s="153"/>
      <c r="E135" s="153"/>
      <c r="F135" s="153"/>
      <c r="G135" s="153"/>
    </row>
    <row r="136" spans="1:7" x14ac:dyDescent="0.25">
      <c r="A136" s="90" t="str">
        <f t="shared" si="2"/>
        <v/>
      </c>
      <c r="B136" s="153"/>
      <c r="C136" s="153"/>
      <c r="D136" s="153"/>
      <c r="E136" s="153"/>
      <c r="F136" s="153"/>
      <c r="G136" s="153"/>
    </row>
    <row r="137" spans="1:7" x14ac:dyDescent="0.25">
      <c r="A137" s="90" t="str">
        <f t="shared" si="2"/>
        <v/>
      </c>
      <c r="B137" s="153"/>
      <c r="C137" s="153"/>
      <c r="D137" s="153"/>
      <c r="E137" s="153"/>
      <c r="F137" s="153"/>
      <c r="G137" s="153"/>
    </row>
    <row r="138" spans="1:7" x14ac:dyDescent="0.25">
      <c r="A138" s="90" t="str">
        <f t="shared" si="2"/>
        <v/>
      </c>
      <c r="B138" s="153"/>
      <c r="C138" s="153"/>
      <c r="D138" s="153"/>
      <c r="E138" s="153"/>
      <c r="F138" s="153"/>
      <c r="G138" s="153"/>
    </row>
    <row r="139" spans="1:7" x14ac:dyDescent="0.25">
      <c r="A139" s="90" t="str">
        <f t="shared" si="2"/>
        <v/>
      </c>
      <c r="B139" s="153"/>
      <c r="C139" s="153"/>
      <c r="D139" s="153"/>
      <c r="E139" s="153"/>
      <c r="F139" s="153"/>
      <c r="G139" s="153"/>
    </row>
    <row r="140" spans="1:7" x14ac:dyDescent="0.25">
      <c r="A140" s="90" t="str">
        <f t="shared" si="2"/>
        <v/>
      </c>
      <c r="B140" s="153"/>
      <c r="C140" s="153"/>
      <c r="D140" s="153"/>
      <c r="E140" s="153"/>
      <c r="F140" s="153"/>
      <c r="G140" s="153"/>
    </row>
    <row r="141" spans="1:7" x14ac:dyDescent="0.25">
      <c r="A141" s="90" t="str">
        <f t="shared" si="2"/>
        <v/>
      </c>
      <c r="B141" s="153"/>
      <c r="C141" s="153"/>
      <c r="D141" s="153"/>
      <c r="E141" s="153"/>
      <c r="F141" s="153"/>
      <c r="G141" s="153"/>
    </row>
    <row r="142" spans="1:7" x14ac:dyDescent="0.25">
      <c r="A142" s="90" t="str">
        <f t="shared" si="2"/>
        <v/>
      </c>
      <c r="B142" s="153"/>
      <c r="C142" s="153"/>
      <c r="D142" s="153"/>
      <c r="E142" s="153"/>
      <c r="F142" s="153"/>
      <c r="G142" s="153"/>
    </row>
    <row r="143" spans="1:7" x14ac:dyDescent="0.25">
      <c r="A143" s="90" t="str">
        <f t="shared" si="2"/>
        <v/>
      </c>
      <c r="B143" s="153"/>
      <c r="C143" s="153"/>
      <c r="D143" s="153"/>
      <c r="E143" s="153"/>
      <c r="F143" s="153"/>
      <c r="G143" s="153"/>
    </row>
    <row r="144" spans="1:7" x14ac:dyDescent="0.25">
      <c r="A144" s="90" t="str">
        <f t="shared" si="2"/>
        <v/>
      </c>
      <c r="B144" s="153"/>
      <c r="C144" s="153"/>
      <c r="D144" s="153"/>
      <c r="E144" s="153"/>
      <c r="F144" s="153"/>
      <c r="G144" s="153"/>
    </row>
    <row r="145" spans="1:7" x14ac:dyDescent="0.25">
      <c r="A145" s="90" t="str">
        <f t="shared" si="2"/>
        <v/>
      </c>
      <c r="B145" s="153"/>
      <c r="C145" s="153"/>
      <c r="D145" s="153"/>
      <c r="E145" s="153"/>
      <c r="F145" s="153"/>
      <c r="G145" s="153"/>
    </row>
    <row r="146" spans="1:7" x14ac:dyDescent="0.25">
      <c r="A146" s="90" t="str">
        <f t="shared" si="2"/>
        <v/>
      </c>
      <c r="B146" s="153"/>
      <c r="C146" s="153"/>
      <c r="D146" s="153"/>
      <c r="E146" s="153"/>
      <c r="F146" s="153"/>
      <c r="G146" s="153"/>
    </row>
    <row r="147" spans="1:7" x14ac:dyDescent="0.25">
      <c r="A147" s="90" t="str">
        <f t="shared" si="2"/>
        <v/>
      </c>
      <c r="B147" s="153"/>
      <c r="C147" s="153"/>
      <c r="D147" s="153"/>
      <c r="E147" s="153"/>
      <c r="F147" s="153"/>
      <c r="G147" s="153"/>
    </row>
    <row r="148" spans="1:7" x14ac:dyDescent="0.25">
      <c r="A148" s="90" t="str">
        <f t="shared" si="2"/>
        <v/>
      </c>
      <c r="B148" s="153"/>
      <c r="C148" s="153"/>
      <c r="D148" s="153"/>
      <c r="E148" s="153"/>
      <c r="F148" s="153"/>
      <c r="G148" s="153"/>
    </row>
    <row r="149" spans="1:7" x14ac:dyDescent="0.25">
      <c r="A149" s="90" t="str">
        <f t="shared" si="2"/>
        <v/>
      </c>
      <c r="B149" s="153"/>
      <c r="C149" s="153"/>
      <c r="D149" s="153"/>
      <c r="E149" s="153"/>
      <c r="F149" s="153"/>
      <c r="G149" s="153"/>
    </row>
    <row r="150" spans="1:7" x14ac:dyDescent="0.25">
      <c r="A150" s="90" t="str">
        <f t="shared" si="2"/>
        <v/>
      </c>
      <c r="B150" s="153"/>
      <c r="C150" s="153"/>
      <c r="D150" s="153"/>
      <c r="E150" s="153"/>
      <c r="F150" s="153"/>
      <c r="G150" s="153"/>
    </row>
    <row r="151" spans="1:7" x14ac:dyDescent="0.25">
      <c r="A151" s="90" t="str">
        <f t="shared" si="2"/>
        <v/>
      </c>
      <c r="B151" s="153"/>
      <c r="C151" s="153"/>
      <c r="D151" s="153"/>
      <c r="E151" s="153"/>
      <c r="F151" s="153"/>
      <c r="G151" s="153"/>
    </row>
    <row r="152" spans="1:7" x14ac:dyDescent="0.25">
      <c r="A152" s="90" t="str">
        <f t="shared" si="2"/>
        <v/>
      </c>
      <c r="B152" s="153"/>
      <c r="C152" s="153"/>
      <c r="D152" s="153"/>
      <c r="E152" s="153"/>
      <c r="F152" s="153"/>
      <c r="G152" s="153"/>
    </row>
    <row r="153" spans="1:7" x14ac:dyDescent="0.25">
      <c r="A153" s="90" t="str">
        <f t="shared" si="2"/>
        <v/>
      </c>
      <c r="B153" s="153"/>
      <c r="C153" s="153"/>
      <c r="D153" s="153"/>
      <c r="E153" s="153"/>
      <c r="F153" s="153"/>
      <c r="G153" s="153"/>
    </row>
    <row r="154" spans="1:7" x14ac:dyDescent="0.25">
      <c r="A154" s="90" t="str">
        <f t="shared" si="2"/>
        <v/>
      </c>
      <c r="B154" s="153"/>
      <c r="C154" s="153"/>
      <c r="D154" s="153"/>
      <c r="E154" s="153"/>
      <c r="F154" s="153"/>
      <c r="G154" s="153"/>
    </row>
    <row r="155" spans="1:7" x14ac:dyDescent="0.25">
      <c r="A155" s="90" t="str">
        <f t="shared" si="2"/>
        <v/>
      </c>
      <c r="B155" s="153"/>
      <c r="C155" s="153"/>
      <c r="D155" s="153"/>
      <c r="E155" s="153"/>
      <c r="F155" s="153"/>
      <c r="G155" s="153"/>
    </row>
    <row r="156" spans="1:7" x14ac:dyDescent="0.25">
      <c r="A156" s="90" t="str">
        <f t="shared" si="2"/>
        <v/>
      </c>
      <c r="B156" s="153"/>
      <c r="C156" s="153"/>
      <c r="D156" s="153"/>
      <c r="E156" s="153"/>
      <c r="F156" s="153"/>
      <c r="G156" s="153"/>
    </row>
    <row r="157" spans="1:7" x14ac:dyDescent="0.25">
      <c r="A157" s="90" t="str">
        <f t="shared" si="2"/>
        <v/>
      </c>
      <c r="B157" s="153"/>
      <c r="C157" s="153"/>
      <c r="D157" s="153"/>
      <c r="E157" s="153"/>
      <c r="F157" s="153"/>
      <c r="G157" s="153"/>
    </row>
    <row r="158" spans="1:7" x14ac:dyDescent="0.25">
      <c r="A158" s="90" t="str">
        <f t="shared" si="2"/>
        <v/>
      </c>
      <c r="B158" s="153"/>
      <c r="C158" s="153"/>
      <c r="D158" s="153"/>
      <c r="E158" s="153"/>
      <c r="F158" s="153"/>
      <c r="G158" s="153"/>
    </row>
    <row r="159" spans="1:7" x14ac:dyDescent="0.25">
      <c r="A159" s="90" t="str">
        <f t="shared" si="2"/>
        <v/>
      </c>
      <c r="B159" s="153"/>
      <c r="C159" s="153"/>
      <c r="D159" s="153"/>
      <c r="E159" s="153"/>
      <c r="F159" s="153"/>
      <c r="G159" s="153"/>
    </row>
    <row r="160" spans="1:7" x14ac:dyDescent="0.25">
      <c r="A160" s="90" t="str">
        <f t="shared" si="2"/>
        <v/>
      </c>
      <c r="B160" s="153"/>
      <c r="C160" s="153"/>
      <c r="D160" s="153"/>
      <c r="E160" s="153"/>
      <c r="F160" s="153"/>
      <c r="G160" s="153"/>
    </row>
    <row r="161" spans="1:7" x14ac:dyDescent="0.25">
      <c r="A161" s="90" t="str">
        <f t="shared" si="2"/>
        <v/>
      </c>
      <c r="B161" s="153"/>
      <c r="C161" s="153"/>
      <c r="D161" s="153"/>
      <c r="E161" s="153"/>
      <c r="F161" s="153"/>
      <c r="G161" s="153"/>
    </row>
    <row r="162" spans="1:7" x14ac:dyDescent="0.25">
      <c r="A162" s="90" t="str">
        <f t="shared" si="2"/>
        <v/>
      </c>
      <c r="B162" s="153"/>
      <c r="C162" s="153"/>
      <c r="D162" s="153"/>
      <c r="E162" s="153"/>
      <c r="F162" s="153"/>
      <c r="G162" s="153"/>
    </row>
    <row r="163" spans="1:7" x14ac:dyDescent="0.25">
      <c r="A163" s="90" t="str">
        <f t="shared" si="2"/>
        <v/>
      </c>
      <c r="B163" s="153"/>
      <c r="C163" s="153"/>
      <c r="D163" s="153"/>
      <c r="E163" s="153"/>
      <c r="F163" s="153"/>
      <c r="G163" s="153"/>
    </row>
    <row r="164" spans="1:7" x14ac:dyDescent="0.25">
      <c r="A164" s="90" t="str">
        <f t="shared" si="2"/>
        <v/>
      </c>
      <c r="B164" s="153"/>
      <c r="C164" s="153"/>
      <c r="D164" s="153"/>
      <c r="E164" s="153"/>
      <c r="F164" s="153"/>
      <c r="G164" s="153"/>
    </row>
    <row r="165" spans="1:7" x14ac:dyDescent="0.25">
      <c r="A165" s="90" t="str">
        <f t="shared" si="2"/>
        <v/>
      </c>
      <c r="B165" s="153"/>
      <c r="C165" s="153"/>
      <c r="D165" s="153"/>
      <c r="E165" s="153"/>
      <c r="F165" s="153"/>
      <c r="G165" s="153"/>
    </row>
    <row r="166" spans="1:7" x14ac:dyDescent="0.25">
      <c r="A166" s="90" t="str">
        <f t="shared" si="2"/>
        <v/>
      </c>
      <c r="B166" s="153"/>
      <c r="C166" s="153"/>
      <c r="D166" s="153"/>
      <c r="E166" s="153"/>
      <c r="F166" s="153"/>
      <c r="G166" s="153"/>
    </row>
    <row r="167" spans="1:7" x14ac:dyDescent="0.25">
      <c r="A167" s="90" t="str">
        <f t="shared" si="2"/>
        <v/>
      </c>
      <c r="B167" s="153"/>
      <c r="C167" s="153"/>
      <c r="D167" s="153"/>
      <c r="E167" s="153"/>
      <c r="F167" s="153"/>
      <c r="G167" s="153"/>
    </row>
    <row r="168" spans="1:7" x14ac:dyDescent="0.25">
      <c r="A168" s="90" t="str">
        <f t="shared" si="2"/>
        <v/>
      </c>
      <c r="B168" s="153"/>
      <c r="C168" s="153"/>
      <c r="D168" s="153"/>
      <c r="E168" s="153"/>
      <c r="F168" s="153"/>
      <c r="G168" s="153"/>
    </row>
    <row r="169" spans="1:7" x14ac:dyDescent="0.25">
      <c r="A169" s="90" t="str">
        <f t="shared" si="2"/>
        <v/>
      </c>
      <c r="B169" s="153"/>
      <c r="C169" s="153"/>
      <c r="D169" s="153"/>
      <c r="E169" s="153"/>
      <c r="F169" s="153"/>
      <c r="G169" s="153"/>
    </row>
    <row r="170" spans="1:7" x14ac:dyDescent="0.25">
      <c r="A170" s="90" t="str">
        <f t="shared" si="2"/>
        <v/>
      </c>
      <c r="B170" s="153"/>
      <c r="C170" s="153"/>
      <c r="D170" s="153"/>
      <c r="E170" s="153"/>
      <c r="F170" s="153"/>
      <c r="G170" s="153"/>
    </row>
    <row r="171" spans="1:7" x14ac:dyDescent="0.25">
      <c r="A171" s="90" t="str">
        <f t="shared" si="2"/>
        <v/>
      </c>
      <c r="B171" s="153"/>
      <c r="C171" s="153"/>
      <c r="D171" s="153"/>
      <c r="E171" s="153"/>
      <c r="F171" s="153"/>
      <c r="G171" s="153"/>
    </row>
    <row r="172" spans="1:7" x14ac:dyDescent="0.25">
      <c r="A172" s="90" t="str">
        <f t="shared" si="2"/>
        <v/>
      </c>
      <c r="B172" s="153"/>
      <c r="C172" s="153"/>
      <c r="D172" s="153"/>
      <c r="E172" s="153"/>
      <c r="F172" s="153"/>
      <c r="G172" s="153"/>
    </row>
    <row r="173" spans="1:7" x14ac:dyDescent="0.25">
      <c r="A173" s="90" t="str">
        <f t="shared" si="2"/>
        <v/>
      </c>
      <c r="B173" s="153"/>
      <c r="C173" s="153"/>
      <c r="D173" s="153"/>
      <c r="E173" s="153"/>
      <c r="F173" s="153"/>
      <c r="G173" s="153"/>
    </row>
    <row r="174" spans="1:7" x14ac:dyDescent="0.25">
      <c r="A174" s="90" t="str">
        <f t="shared" si="2"/>
        <v/>
      </c>
      <c r="B174" s="153"/>
      <c r="C174" s="153"/>
      <c r="D174" s="153"/>
      <c r="E174" s="153"/>
      <c r="F174" s="153"/>
      <c r="G174" s="153"/>
    </row>
    <row r="175" spans="1:7" x14ac:dyDescent="0.25">
      <c r="A175" s="90" t="str">
        <f t="shared" si="2"/>
        <v/>
      </c>
      <c r="B175" s="153"/>
      <c r="C175" s="153"/>
      <c r="D175" s="153"/>
      <c r="E175" s="153"/>
      <c r="F175" s="153"/>
      <c r="G175" s="153"/>
    </row>
    <row r="176" spans="1:7" x14ac:dyDescent="0.25">
      <c r="A176" s="90" t="str">
        <f t="shared" si="2"/>
        <v/>
      </c>
      <c r="B176" s="153"/>
      <c r="C176" s="153"/>
      <c r="D176" s="153"/>
      <c r="E176" s="153"/>
      <c r="F176" s="153"/>
      <c r="G176" s="153"/>
    </row>
    <row r="177" spans="1:7" x14ac:dyDescent="0.25">
      <c r="A177" s="90" t="str">
        <f t="shared" si="2"/>
        <v/>
      </c>
      <c r="B177" s="153"/>
      <c r="C177" s="153"/>
      <c r="D177" s="153"/>
      <c r="E177" s="153"/>
      <c r="F177" s="153"/>
      <c r="G177" s="153"/>
    </row>
    <row r="178" spans="1:7" x14ac:dyDescent="0.25">
      <c r="A178" s="90" t="str">
        <f t="shared" si="2"/>
        <v/>
      </c>
      <c r="B178" s="153"/>
      <c r="C178" s="153"/>
      <c r="D178" s="153"/>
      <c r="E178" s="153"/>
      <c r="F178" s="153"/>
      <c r="G178" s="153"/>
    </row>
    <row r="179" spans="1:7" x14ac:dyDescent="0.25">
      <c r="A179" s="90" t="str">
        <f t="shared" si="2"/>
        <v/>
      </c>
      <c r="B179" s="153"/>
      <c r="C179" s="153"/>
      <c r="D179" s="153"/>
      <c r="E179" s="153"/>
      <c r="F179" s="153"/>
      <c r="G179" s="153"/>
    </row>
    <row r="180" spans="1:7" x14ac:dyDescent="0.25">
      <c r="A180" s="90" t="str">
        <f t="shared" si="2"/>
        <v/>
      </c>
      <c r="B180" s="153"/>
      <c r="C180" s="153"/>
      <c r="D180" s="153"/>
      <c r="E180" s="153"/>
      <c r="F180" s="153"/>
      <c r="G180" s="153"/>
    </row>
    <row r="181" spans="1:7" x14ac:dyDescent="0.25">
      <c r="A181" s="90" t="str">
        <f t="shared" si="2"/>
        <v/>
      </c>
      <c r="B181" s="153"/>
      <c r="C181" s="153"/>
      <c r="D181" s="153"/>
      <c r="E181" s="153"/>
      <c r="F181" s="153"/>
      <c r="G181" s="153"/>
    </row>
    <row r="182" spans="1:7" x14ac:dyDescent="0.25">
      <c r="A182" s="90" t="str">
        <f t="shared" si="2"/>
        <v/>
      </c>
      <c r="B182" s="153"/>
      <c r="C182" s="153"/>
      <c r="D182" s="153"/>
      <c r="E182" s="153"/>
      <c r="F182" s="153"/>
      <c r="G182" s="153"/>
    </row>
    <row r="183" spans="1:7" x14ac:dyDescent="0.25">
      <c r="A183" s="90" t="str">
        <f t="shared" si="2"/>
        <v/>
      </c>
      <c r="B183" s="153"/>
      <c r="C183" s="153"/>
      <c r="D183" s="153"/>
      <c r="E183" s="153"/>
      <c r="F183" s="153"/>
      <c r="G183" s="153"/>
    </row>
    <row r="184" spans="1:7" x14ac:dyDescent="0.25">
      <c r="A184" s="90" t="str">
        <f t="shared" si="2"/>
        <v/>
      </c>
      <c r="B184" s="153"/>
      <c r="C184" s="153"/>
      <c r="D184" s="153"/>
      <c r="E184" s="153"/>
      <c r="F184" s="153"/>
      <c r="G184" s="153"/>
    </row>
    <row r="185" spans="1:7" x14ac:dyDescent="0.25">
      <c r="A185" s="90" t="str">
        <f t="shared" si="2"/>
        <v/>
      </c>
      <c r="B185" s="153"/>
      <c r="C185" s="153"/>
      <c r="D185" s="153"/>
      <c r="E185" s="153"/>
      <c r="F185" s="153"/>
      <c r="G185" s="153"/>
    </row>
    <row r="186" spans="1:7" x14ac:dyDescent="0.25">
      <c r="A186" s="90" t="str">
        <f t="shared" si="2"/>
        <v/>
      </c>
      <c r="B186" s="153"/>
      <c r="C186" s="153"/>
      <c r="D186" s="153"/>
      <c r="E186" s="153"/>
      <c r="F186" s="153"/>
      <c r="G186" s="153"/>
    </row>
    <row r="187" spans="1:7" x14ac:dyDescent="0.25">
      <c r="A187" s="90" t="str">
        <f t="shared" si="2"/>
        <v/>
      </c>
      <c r="B187" s="153"/>
      <c r="C187" s="153"/>
      <c r="D187" s="153"/>
      <c r="E187" s="153"/>
      <c r="F187" s="153"/>
      <c r="G187" s="153"/>
    </row>
    <row r="188" spans="1:7" x14ac:dyDescent="0.25">
      <c r="A188" s="90" t="str">
        <f t="shared" si="2"/>
        <v/>
      </c>
      <c r="B188" s="153"/>
      <c r="C188" s="153"/>
      <c r="D188" s="153"/>
      <c r="E188" s="153"/>
      <c r="F188" s="153"/>
      <c r="G188" s="153"/>
    </row>
    <row r="189" spans="1:7" x14ac:dyDescent="0.25">
      <c r="A189" s="90" t="str">
        <f t="shared" si="2"/>
        <v/>
      </c>
      <c r="B189" s="153"/>
      <c r="C189" s="153"/>
      <c r="D189" s="153"/>
      <c r="E189" s="153"/>
      <c r="F189" s="153"/>
      <c r="G189" s="153"/>
    </row>
    <row r="190" spans="1:7" x14ac:dyDescent="0.25">
      <c r="A190" s="90" t="str">
        <f t="shared" si="2"/>
        <v/>
      </c>
      <c r="B190" s="153"/>
      <c r="C190" s="153"/>
      <c r="D190" s="153"/>
      <c r="E190" s="153"/>
      <c r="F190" s="153"/>
      <c r="G190" s="153"/>
    </row>
    <row r="191" spans="1:7" x14ac:dyDescent="0.25">
      <c r="A191" s="90" t="str">
        <f t="shared" si="2"/>
        <v/>
      </c>
      <c r="B191" s="153"/>
      <c r="C191" s="153"/>
      <c r="D191" s="153"/>
      <c r="E191" s="153"/>
      <c r="F191" s="153"/>
      <c r="G191" s="153"/>
    </row>
    <row r="192" spans="1:7" x14ac:dyDescent="0.25">
      <c r="A192" s="90" t="str">
        <f t="shared" si="2"/>
        <v/>
      </c>
      <c r="B192" s="153"/>
      <c r="C192" s="153"/>
      <c r="D192" s="153"/>
      <c r="E192" s="153"/>
      <c r="F192" s="153"/>
      <c r="G192" s="153"/>
    </row>
    <row r="193" spans="1:7" x14ac:dyDescent="0.25">
      <c r="A193" s="90" t="str">
        <f t="shared" si="2"/>
        <v/>
      </c>
      <c r="B193" s="153"/>
      <c r="C193" s="153"/>
      <c r="D193" s="153"/>
      <c r="E193" s="153"/>
      <c r="F193" s="153"/>
      <c r="G193" s="153"/>
    </row>
    <row r="194" spans="1:7" x14ac:dyDescent="0.25">
      <c r="A194" s="90" t="str">
        <f t="shared" si="2"/>
        <v/>
      </c>
      <c r="B194" s="153"/>
      <c r="C194" s="153"/>
      <c r="D194" s="153"/>
      <c r="E194" s="153"/>
      <c r="F194" s="153"/>
      <c r="G194" s="153"/>
    </row>
    <row r="195" spans="1:7" x14ac:dyDescent="0.25">
      <c r="A195" s="90" t="str">
        <f t="shared" si="2"/>
        <v/>
      </c>
      <c r="B195" s="153"/>
      <c r="C195" s="153"/>
      <c r="D195" s="153"/>
      <c r="E195" s="153"/>
      <c r="F195" s="153"/>
      <c r="G195" s="153"/>
    </row>
    <row r="196" spans="1:7" x14ac:dyDescent="0.25">
      <c r="A196" s="90" t="str">
        <f t="shared" si="2"/>
        <v/>
      </c>
      <c r="B196" s="153"/>
      <c r="C196" s="153"/>
      <c r="D196" s="153"/>
      <c r="E196" s="153"/>
      <c r="F196" s="153"/>
      <c r="G196" s="153"/>
    </row>
    <row r="197" spans="1:7" x14ac:dyDescent="0.25">
      <c r="A197" s="90" t="str">
        <f t="shared" si="2"/>
        <v/>
      </c>
      <c r="B197" s="153"/>
      <c r="C197" s="153"/>
      <c r="D197" s="153"/>
      <c r="E197" s="153"/>
      <c r="F197" s="153"/>
      <c r="G197" s="153"/>
    </row>
    <row r="198" spans="1:7" x14ac:dyDescent="0.25">
      <c r="A198" s="90" t="str">
        <f t="shared" si="2"/>
        <v/>
      </c>
      <c r="B198" s="153"/>
      <c r="C198" s="153"/>
      <c r="D198" s="153"/>
      <c r="E198" s="153"/>
      <c r="F198" s="153"/>
      <c r="G198" s="153"/>
    </row>
    <row r="199" spans="1:7" x14ac:dyDescent="0.25">
      <c r="A199" s="90" t="str">
        <f>IF(B199&lt;&gt;"",A198+1,"")</f>
        <v/>
      </c>
      <c r="B199" s="153"/>
      <c r="C199" s="153"/>
      <c r="D199" s="153"/>
      <c r="E199" s="153"/>
      <c r="F199" s="153"/>
      <c r="G199" s="153"/>
    </row>
    <row r="200" spans="1:7" x14ac:dyDescent="0.25">
      <c r="A200" s="90" t="str">
        <f>IF(B200&lt;&gt;"",A199+1,"")</f>
        <v/>
      </c>
      <c r="B200" s="153"/>
      <c r="C200" s="153"/>
      <c r="D200" s="153"/>
      <c r="E200" s="153"/>
      <c r="F200" s="153"/>
      <c r="G200" s="153"/>
    </row>
  </sheetData>
  <sheetProtection algorithmName="SHA-512" hashValue="3HUCVgoi+7gzjgxqgKzNErlkNGjOblLOZePQsZOtbxjiWS0Z8sO3S84Ya+y3j74Qo17ppxITW9ux711xw+3T6Q==" saltValue="JEMjZuE32aO2MkRMneyofg==" spinCount="100000" sheet="1" objects="1" scenarios="1"/>
  <mergeCells count="1">
    <mergeCell ref="B1:G1"/>
  </mergeCells>
  <phoneticPr fontId="9" type="noConversion"/>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5D2AA-8EBA-4A75-939B-702F4FAFB01C}">
  <sheetPr codeName="Hoja6">
    <tabColor rgb="FFFFC000"/>
  </sheetPr>
  <dimension ref="A1:G200"/>
  <sheetViews>
    <sheetView zoomScale="140" zoomScaleNormal="140" workbookViewId="0">
      <selection activeCell="B23" sqref="B23"/>
    </sheetView>
  </sheetViews>
  <sheetFormatPr defaultColWidth="5.7109375" defaultRowHeight="12" x14ac:dyDescent="0.25"/>
  <cols>
    <col min="1" max="1" width="5.7109375" style="95"/>
    <col min="2" max="3" width="29.5703125" style="91" bestFit="1" customWidth="1"/>
    <col min="4" max="4" width="13" style="95" bestFit="1" customWidth="1"/>
    <col min="5" max="5" width="11.7109375" style="95" bestFit="1" customWidth="1"/>
    <col min="6" max="16384" width="5.7109375" style="91"/>
  </cols>
  <sheetData>
    <row r="1" spans="1:7" ht="15" customHeight="1" x14ac:dyDescent="0.25">
      <c r="A1" s="90"/>
      <c r="B1" s="175" t="s">
        <v>215</v>
      </c>
      <c r="C1" s="175"/>
      <c r="D1" s="175"/>
      <c r="E1" s="175"/>
      <c r="F1" s="149"/>
      <c r="G1" s="149"/>
    </row>
    <row r="2" spans="1:7" ht="6.75" customHeight="1" x14ac:dyDescent="0.25">
      <c r="A2" s="90"/>
      <c r="B2" s="92"/>
      <c r="C2" s="92"/>
      <c r="D2" s="96"/>
      <c r="E2" s="96"/>
    </row>
    <row r="3" spans="1:7" x14ac:dyDescent="0.25">
      <c r="A3" s="4" t="s">
        <v>28</v>
      </c>
      <c r="B3" s="4" t="s">
        <v>21</v>
      </c>
      <c r="C3" s="4" t="s">
        <v>43</v>
      </c>
      <c r="D3" s="4" t="s">
        <v>24</v>
      </c>
      <c r="E3" s="93" t="s">
        <v>78</v>
      </c>
    </row>
    <row r="4" spans="1:7" ht="4.5" customHeight="1" x14ac:dyDescent="0.25">
      <c r="A4" s="4"/>
      <c r="B4" s="90"/>
      <c r="C4" s="90"/>
      <c r="D4" s="90"/>
      <c r="E4" s="90"/>
    </row>
    <row r="5" spans="1:7" x14ac:dyDescent="0.25">
      <c r="A5" s="90">
        <v>1</v>
      </c>
      <c r="B5" s="150" t="s">
        <v>152</v>
      </c>
      <c r="C5" s="150" t="s">
        <v>152</v>
      </c>
      <c r="D5" s="151">
        <v>30</v>
      </c>
      <c r="E5" s="152">
        <v>2371332</v>
      </c>
    </row>
    <row r="6" spans="1:7" x14ac:dyDescent="0.25">
      <c r="A6" s="90">
        <f>IF(B6&lt;&gt;"",A5+1,"")</f>
        <v>2</v>
      </c>
      <c r="B6" s="150" t="s">
        <v>153</v>
      </c>
      <c r="C6" s="150" t="s">
        <v>153</v>
      </c>
      <c r="D6" s="151">
        <v>30</v>
      </c>
      <c r="E6" s="152">
        <v>2742905</v>
      </c>
    </row>
    <row r="7" spans="1:7" x14ac:dyDescent="0.25">
      <c r="A7" s="90">
        <f t="shared" ref="A7:A70" si="0">IF(B7&lt;&gt;"",A6+1,"")</f>
        <v>3</v>
      </c>
      <c r="B7" s="150" t="s">
        <v>154</v>
      </c>
      <c r="C7" s="150" t="s">
        <v>154</v>
      </c>
      <c r="D7" s="151">
        <v>30</v>
      </c>
      <c r="E7" s="152">
        <v>3080817</v>
      </c>
    </row>
    <row r="8" spans="1:7" x14ac:dyDescent="0.25">
      <c r="A8" s="90">
        <f t="shared" si="0"/>
        <v>4</v>
      </c>
      <c r="B8" s="150" t="s">
        <v>155</v>
      </c>
      <c r="C8" s="150" t="s">
        <v>155</v>
      </c>
      <c r="D8" s="151">
        <v>30</v>
      </c>
      <c r="E8" s="152">
        <v>3719094</v>
      </c>
    </row>
    <row r="9" spans="1:7" x14ac:dyDescent="0.25">
      <c r="A9" s="90">
        <f t="shared" si="0"/>
        <v>5</v>
      </c>
      <c r="B9" s="150" t="s">
        <v>156</v>
      </c>
      <c r="C9" s="150" t="s">
        <v>156</v>
      </c>
      <c r="D9" s="151">
        <v>30</v>
      </c>
      <c r="E9" s="152">
        <v>4696577</v>
      </c>
    </row>
    <row r="10" spans="1:7" x14ac:dyDescent="0.25">
      <c r="A10" s="90">
        <f t="shared" si="0"/>
        <v>6</v>
      </c>
      <c r="B10" s="150" t="s">
        <v>157</v>
      </c>
      <c r="C10" s="150" t="s">
        <v>157</v>
      </c>
      <c r="D10" s="151">
        <v>30</v>
      </c>
      <c r="E10" s="152">
        <v>5733616</v>
      </c>
    </row>
    <row r="11" spans="1:7" x14ac:dyDescent="0.25">
      <c r="A11" s="90">
        <f t="shared" si="0"/>
        <v>7</v>
      </c>
      <c r="B11" s="150" t="s">
        <v>158</v>
      </c>
      <c r="C11" s="150" t="s">
        <v>158</v>
      </c>
      <c r="D11" s="151">
        <v>30</v>
      </c>
      <c r="E11" s="152">
        <v>6927311</v>
      </c>
    </row>
    <row r="12" spans="1:7" x14ac:dyDescent="0.25">
      <c r="A12" s="90">
        <f t="shared" si="0"/>
        <v>8</v>
      </c>
      <c r="B12" s="150" t="s">
        <v>159</v>
      </c>
      <c r="C12" s="150" t="s">
        <v>159</v>
      </c>
      <c r="D12" s="151">
        <v>30</v>
      </c>
      <c r="E12" s="152">
        <v>5838349</v>
      </c>
    </row>
    <row r="13" spans="1:7" x14ac:dyDescent="0.25">
      <c r="A13" s="90">
        <f t="shared" si="0"/>
        <v>9</v>
      </c>
      <c r="B13" s="150" t="s">
        <v>160</v>
      </c>
      <c r="C13" s="150" t="s">
        <v>160</v>
      </c>
      <c r="D13" s="151">
        <v>30</v>
      </c>
      <c r="E13" s="152">
        <v>6553983</v>
      </c>
    </row>
    <row r="14" spans="1:7" x14ac:dyDescent="0.25">
      <c r="A14" s="90">
        <f t="shared" si="0"/>
        <v>10</v>
      </c>
      <c r="B14" s="150" t="s">
        <v>161</v>
      </c>
      <c r="C14" s="150" t="s">
        <v>161</v>
      </c>
      <c r="D14" s="151">
        <v>30</v>
      </c>
      <c r="E14" s="152">
        <v>8338052</v>
      </c>
    </row>
    <row r="15" spans="1:7" x14ac:dyDescent="0.25">
      <c r="A15" s="90">
        <f t="shared" si="0"/>
        <v>11</v>
      </c>
      <c r="B15" s="150" t="s">
        <v>162</v>
      </c>
      <c r="C15" s="150" t="s">
        <v>162</v>
      </c>
      <c r="D15" s="151">
        <v>30</v>
      </c>
      <c r="E15" s="152">
        <v>9573177</v>
      </c>
    </row>
    <row r="16" spans="1:7" x14ac:dyDescent="0.25">
      <c r="A16" s="90">
        <f t="shared" si="0"/>
        <v>12</v>
      </c>
      <c r="B16" s="150" t="s">
        <v>235</v>
      </c>
      <c r="C16" s="150" t="s">
        <v>235</v>
      </c>
      <c r="D16" s="151">
        <v>30</v>
      </c>
      <c r="E16" s="152">
        <v>59600</v>
      </c>
    </row>
    <row r="17" spans="1:5" x14ac:dyDescent="0.25">
      <c r="A17" s="90">
        <f t="shared" si="0"/>
        <v>13</v>
      </c>
      <c r="B17" s="150" t="s">
        <v>236</v>
      </c>
      <c r="C17" s="150" t="s">
        <v>239</v>
      </c>
      <c r="D17" s="151">
        <v>30</v>
      </c>
      <c r="E17" s="152">
        <v>1403527.14</v>
      </c>
    </row>
    <row r="18" spans="1:5" x14ac:dyDescent="0.25">
      <c r="A18" s="90">
        <f t="shared" si="0"/>
        <v>14</v>
      </c>
      <c r="B18" s="150" t="s">
        <v>237</v>
      </c>
      <c r="C18" s="150" t="s">
        <v>238</v>
      </c>
      <c r="D18" s="151">
        <v>30</v>
      </c>
      <c r="E18" s="152">
        <v>3597731</v>
      </c>
    </row>
    <row r="19" spans="1:5" x14ac:dyDescent="0.25">
      <c r="A19" s="90">
        <f t="shared" si="0"/>
        <v>15</v>
      </c>
      <c r="B19" s="150" t="s">
        <v>240</v>
      </c>
      <c r="C19" s="150" t="s">
        <v>238</v>
      </c>
      <c r="D19" s="151">
        <v>30</v>
      </c>
      <c r="E19" s="152">
        <v>249840</v>
      </c>
    </row>
    <row r="20" spans="1:5" x14ac:dyDescent="0.25">
      <c r="A20" s="90">
        <f t="shared" si="0"/>
        <v>16</v>
      </c>
      <c r="B20" s="150" t="s">
        <v>241</v>
      </c>
      <c r="C20" s="150" t="s">
        <v>241</v>
      </c>
      <c r="D20" s="151">
        <v>10</v>
      </c>
      <c r="E20" s="152">
        <v>1388945</v>
      </c>
    </row>
    <row r="21" spans="1:5" x14ac:dyDescent="0.25">
      <c r="A21" s="90">
        <f t="shared" si="0"/>
        <v>17</v>
      </c>
      <c r="B21" s="150" t="s">
        <v>242</v>
      </c>
      <c r="C21" s="150" t="s">
        <v>242</v>
      </c>
      <c r="D21" s="151">
        <v>5</v>
      </c>
      <c r="E21" s="152">
        <v>1469128</v>
      </c>
    </row>
    <row r="22" spans="1:5" x14ac:dyDescent="0.25">
      <c r="A22" s="90">
        <f t="shared" si="0"/>
        <v>18</v>
      </c>
      <c r="B22" s="150" t="s">
        <v>244</v>
      </c>
      <c r="C22" s="150" t="s">
        <v>244</v>
      </c>
      <c r="D22" s="151">
        <v>8.75</v>
      </c>
      <c r="E22" s="152">
        <v>300000</v>
      </c>
    </row>
    <row r="23" spans="1:5" x14ac:dyDescent="0.25">
      <c r="A23" s="90" t="str">
        <f t="shared" si="0"/>
        <v/>
      </c>
      <c r="B23" s="150"/>
      <c r="C23" s="150"/>
      <c r="D23" s="151"/>
      <c r="E23" s="152"/>
    </row>
    <row r="24" spans="1:5" x14ac:dyDescent="0.25">
      <c r="A24" s="90" t="str">
        <f t="shared" si="0"/>
        <v/>
      </c>
      <c r="B24" s="150"/>
      <c r="C24" s="150"/>
      <c r="D24" s="151"/>
      <c r="E24" s="152"/>
    </row>
    <row r="25" spans="1:5" x14ac:dyDescent="0.25">
      <c r="A25" s="90" t="str">
        <f t="shared" si="0"/>
        <v/>
      </c>
      <c r="B25" s="150"/>
      <c r="C25" s="150"/>
      <c r="D25" s="151"/>
      <c r="E25" s="152"/>
    </row>
    <row r="26" spans="1:5" x14ac:dyDescent="0.25">
      <c r="A26" s="90" t="str">
        <f t="shared" si="0"/>
        <v/>
      </c>
      <c r="B26" s="150"/>
      <c r="C26" s="150"/>
      <c r="D26" s="151"/>
      <c r="E26" s="152"/>
    </row>
    <row r="27" spans="1:5" x14ac:dyDescent="0.25">
      <c r="A27" s="90" t="str">
        <f t="shared" si="0"/>
        <v/>
      </c>
      <c r="B27" s="150"/>
      <c r="C27" s="150"/>
      <c r="D27" s="151"/>
      <c r="E27" s="152"/>
    </row>
    <row r="28" spans="1:5" x14ac:dyDescent="0.25">
      <c r="A28" s="90" t="str">
        <f t="shared" si="0"/>
        <v/>
      </c>
      <c r="B28" s="150"/>
      <c r="C28" s="150"/>
      <c r="D28" s="151"/>
      <c r="E28" s="152"/>
    </row>
    <row r="29" spans="1:5" x14ac:dyDescent="0.25">
      <c r="A29" s="90" t="str">
        <f t="shared" si="0"/>
        <v/>
      </c>
      <c r="B29" s="150"/>
      <c r="C29" s="150"/>
      <c r="D29" s="151"/>
      <c r="E29" s="152"/>
    </row>
    <row r="30" spans="1:5" x14ac:dyDescent="0.25">
      <c r="A30" s="90" t="str">
        <f t="shared" si="0"/>
        <v/>
      </c>
      <c r="B30" s="150"/>
      <c r="C30" s="150"/>
      <c r="D30" s="151"/>
      <c r="E30" s="152"/>
    </row>
    <row r="31" spans="1:5" x14ac:dyDescent="0.25">
      <c r="A31" s="90" t="str">
        <f t="shared" si="0"/>
        <v/>
      </c>
      <c r="B31" s="150"/>
      <c r="C31" s="150"/>
      <c r="D31" s="151"/>
      <c r="E31" s="152"/>
    </row>
    <row r="32" spans="1:5" x14ac:dyDescent="0.25">
      <c r="A32" s="90" t="str">
        <f t="shared" si="0"/>
        <v/>
      </c>
      <c r="B32" s="150"/>
      <c r="C32" s="150"/>
      <c r="D32" s="151"/>
      <c r="E32" s="152"/>
    </row>
    <row r="33" spans="1:5" x14ac:dyDescent="0.25">
      <c r="A33" s="90" t="str">
        <f t="shared" si="0"/>
        <v/>
      </c>
      <c r="B33" s="150"/>
      <c r="C33" s="150"/>
      <c r="D33" s="151"/>
      <c r="E33" s="152"/>
    </row>
    <row r="34" spans="1:5" x14ac:dyDescent="0.25">
      <c r="A34" s="90" t="str">
        <f t="shared" si="0"/>
        <v/>
      </c>
      <c r="B34" s="150"/>
      <c r="C34" s="150"/>
      <c r="D34" s="151"/>
      <c r="E34" s="152"/>
    </row>
    <row r="35" spans="1:5" x14ac:dyDescent="0.25">
      <c r="A35" s="90" t="str">
        <f t="shared" si="0"/>
        <v/>
      </c>
      <c r="B35" s="150"/>
      <c r="C35" s="150"/>
      <c r="D35" s="151"/>
      <c r="E35" s="152"/>
    </row>
    <row r="36" spans="1:5" x14ac:dyDescent="0.25">
      <c r="A36" s="90" t="str">
        <f t="shared" si="0"/>
        <v/>
      </c>
      <c r="B36" s="150"/>
      <c r="C36" s="150"/>
      <c r="D36" s="151"/>
      <c r="E36" s="152"/>
    </row>
    <row r="37" spans="1:5" x14ac:dyDescent="0.25">
      <c r="A37" s="90" t="str">
        <f t="shared" si="0"/>
        <v/>
      </c>
      <c r="B37" s="150"/>
      <c r="C37" s="150"/>
      <c r="D37" s="151"/>
      <c r="E37" s="152"/>
    </row>
    <row r="38" spans="1:5" x14ac:dyDescent="0.25">
      <c r="A38" s="90" t="str">
        <f t="shared" si="0"/>
        <v/>
      </c>
      <c r="B38" s="150"/>
      <c r="C38" s="150"/>
      <c r="D38" s="151"/>
      <c r="E38" s="152"/>
    </row>
    <row r="39" spans="1:5" x14ac:dyDescent="0.25">
      <c r="A39" s="90" t="str">
        <f t="shared" si="0"/>
        <v/>
      </c>
      <c r="B39" s="150"/>
      <c r="C39" s="150"/>
      <c r="D39" s="151"/>
      <c r="E39" s="152"/>
    </row>
    <row r="40" spans="1:5" x14ac:dyDescent="0.25">
      <c r="A40" s="90" t="str">
        <f t="shared" si="0"/>
        <v/>
      </c>
      <c r="B40" s="150"/>
      <c r="C40" s="150"/>
      <c r="D40" s="151"/>
      <c r="E40" s="152"/>
    </row>
    <row r="41" spans="1:5" x14ac:dyDescent="0.25">
      <c r="A41" s="90" t="str">
        <f t="shared" si="0"/>
        <v/>
      </c>
      <c r="B41" s="150"/>
      <c r="C41" s="150"/>
      <c r="D41" s="151"/>
      <c r="E41" s="152"/>
    </row>
    <row r="42" spans="1:5" x14ac:dyDescent="0.25">
      <c r="A42" s="90" t="str">
        <f t="shared" si="0"/>
        <v/>
      </c>
      <c r="B42" s="150"/>
      <c r="C42" s="150"/>
      <c r="D42" s="151"/>
      <c r="E42" s="152"/>
    </row>
    <row r="43" spans="1:5" x14ac:dyDescent="0.25">
      <c r="A43" s="90" t="str">
        <f t="shared" si="0"/>
        <v/>
      </c>
      <c r="B43" s="150"/>
      <c r="C43" s="150"/>
      <c r="D43" s="151"/>
      <c r="E43" s="152"/>
    </row>
    <row r="44" spans="1:5" x14ac:dyDescent="0.25">
      <c r="A44" s="90" t="str">
        <f t="shared" si="0"/>
        <v/>
      </c>
      <c r="B44" s="150"/>
      <c r="C44" s="150"/>
      <c r="D44" s="151"/>
      <c r="E44" s="152"/>
    </row>
    <row r="45" spans="1:5" x14ac:dyDescent="0.25">
      <c r="A45" s="90" t="str">
        <f t="shared" si="0"/>
        <v/>
      </c>
      <c r="B45" s="150"/>
      <c r="C45" s="150"/>
      <c r="D45" s="151"/>
      <c r="E45" s="152"/>
    </row>
    <row r="46" spans="1:5" x14ac:dyDescent="0.25">
      <c r="A46" s="90" t="str">
        <f t="shared" si="0"/>
        <v/>
      </c>
      <c r="B46" s="150"/>
      <c r="C46" s="150"/>
      <c r="D46" s="151"/>
      <c r="E46" s="152"/>
    </row>
    <row r="47" spans="1:5" x14ac:dyDescent="0.25">
      <c r="A47" s="90" t="str">
        <f t="shared" si="0"/>
        <v/>
      </c>
      <c r="B47" s="150"/>
      <c r="C47" s="150"/>
      <c r="D47" s="151"/>
      <c r="E47" s="152"/>
    </row>
    <row r="48" spans="1:5" x14ac:dyDescent="0.25">
      <c r="A48" s="90" t="str">
        <f t="shared" si="0"/>
        <v/>
      </c>
      <c r="B48" s="150"/>
      <c r="C48" s="150"/>
      <c r="D48" s="151"/>
      <c r="E48" s="152"/>
    </row>
    <row r="49" spans="1:5" x14ac:dyDescent="0.25">
      <c r="A49" s="90" t="str">
        <f t="shared" si="0"/>
        <v/>
      </c>
      <c r="B49" s="150"/>
      <c r="C49" s="150"/>
      <c r="D49" s="151"/>
      <c r="E49" s="152"/>
    </row>
    <row r="50" spans="1:5" x14ac:dyDescent="0.25">
      <c r="A50" s="90" t="str">
        <f t="shared" si="0"/>
        <v/>
      </c>
      <c r="B50" s="150"/>
      <c r="C50" s="150"/>
      <c r="D50" s="151"/>
      <c r="E50" s="152"/>
    </row>
    <row r="51" spans="1:5" x14ac:dyDescent="0.25">
      <c r="A51" s="90" t="str">
        <f t="shared" si="0"/>
        <v/>
      </c>
      <c r="B51" s="150"/>
      <c r="C51" s="150"/>
      <c r="D51" s="151"/>
      <c r="E51" s="152"/>
    </row>
    <row r="52" spans="1:5" x14ac:dyDescent="0.25">
      <c r="A52" s="90" t="str">
        <f t="shared" si="0"/>
        <v/>
      </c>
      <c r="B52" s="150"/>
      <c r="C52" s="150"/>
      <c r="D52" s="151"/>
      <c r="E52" s="152"/>
    </row>
    <row r="53" spans="1:5" x14ac:dyDescent="0.25">
      <c r="A53" s="90" t="str">
        <f t="shared" si="0"/>
        <v/>
      </c>
      <c r="B53" s="150"/>
      <c r="C53" s="150"/>
      <c r="D53" s="151"/>
      <c r="E53" s="152"/>
    </row>
    <row r="54" spans="1:5" x14ac:dyDescent="0.25">
      <c r="A54" s="90" t="str">
        <f t="shared" si="0"/>
        <v/>
      </c>
      <c r="B54" s="150"/>
      <c r="C54" s="150"/>
      <c r="D54" s="151"/>
      <c r="E54" s="152"/>
    </row>
    <row r="55" spans="1:5" x14ac:dyDescent="0.25">
      <c r="A55" s="90" t="str">
        <f t="shared" si="0"/>
        <v/>
      </c>
      <c r="B55" s="150"/>
      <c r="C55" s="150"/>
      <c r="D55" s="151"/>
      <c r="E55" s="152"/>
    </row>
    <row r="56" spans="1:5" x14ac:dyDescent="0.25">
      <c r="A56" s="90" t="str">
        <f t="shared" si="0"/>
        <v/>
      </c>
      <c r="B56" s="153"/>
      <c r="C56" s="153"/>
      <c r="D56" s="151"/>
      <c r="E56" s="152"/>
    </row>
    <row r="57" spans="1:5" x14ac:dyDescent="0.25">
      <c r="A57" s="90" t="str">
        <f t="shared" si="0"/>
        <v/>
      </c>
      <c r="B57" s="153"/>
      <c r="C57" s="153"/>
      <c r="D57" s="151"/>
      <c r="E57" s="152"/>
    </row>
    <row r="58" spans="1:5" x14ac:dyDescent="0.25">
      <c r="A58" s="90" t="str">
        <f t="shared" si="0"/>
        <v/>
      </c>
      <c r="B58" s="153"/>
      <c r="C58" s="153"/>
      <c r="D58" s="151"/>
      <c r="E58" s="152"/>
    </row>
    <row r="59" spans="1:5" x14ac:dyDescent="0.25">
      <c r="A59" s="90" t="str">
        <f t="shared" si="0"/>
        <v/>
      </c>
      <c r="B59" s="153"/>
      <c r="C59" s="153"/>
      <c r="D59" s="151"/>
      <c r="E59" s="152"/>
    </row>
    <row r="60" spans="1:5" x14ac:dyDescent="0.25">
      <c r="A60" s="90" t="str">
        <f t="shared" si="0"/>
        <v/>
      </c>
      <c r="B60" s="153"/>
      <c r="C60" s="153"/>
      <c r="D60" s="151"/>
      <c r="E60" s="152"/>
    </row>
    <row r="61" spans="1:5" x14ac:dyDescent="0.25">
      <c r="A61" s="90" t="str">
        <f t="shared" si="0"/>
        <v/>
      </c>
      <c r="B61" s="153"/>
      <c r="C61" s="153"/>
      <c r="D61" s="151"/>
      <c r="E61" s="152"/>
    </row>
    <row r="62" spans="1:5" x14ac:dyDescent="0.25">
      <c r="A62" s="90" t="str">
        <f t="shared" si="0"/>
        <v/>
      </c>
      <c r="B62" s="153"/>
      <c r="C62" s="153"/>
      <c r="D62" s="151"/>
      <c r="E62" s="152"/>
    </row>
    <row r="63" spans="1:5" x14ac:dyDescent="0.25">
      <c r="A63" s="90" t="str">
        <f t="shared" si="0"/>
        <v/>
      </c>
      <c r="B63" s="153"/>
      <c r="C63" s="153"/>
      <c r="D63" s="151"/>
      <c r="E63" s="152"/>
    </row>
    <row r="64" spans="1:5" x14ac:dyDescent="0.25">
      <c r="A64" s="90" t="str">
        <f t="shared" si="0"/>
        <v/>
      </c>
      <c r="B64" s="153"/>
      <c r="C64" s="153"/>
      <c r="D64" s="151"/>
      <c r="E64" s="152"/>
    </row>
    <row r="65" spans="1:5" x14ac:dyDescent="0.25">
      <c r="A65" s="90" t="str">
        <f t="shared" si="0"/>
        <v/>
      </c>
      <c r="B65" s="153"/>
      <c r="C65" s="153"/>
      <c r="D65" s="151"/>
      <c r="E65" s="152"/>
    </row>
    <row r="66" spans="1:5" x14ac:dyDescent="0.25">
      <c r="A66" s="90" t="str">
        <f t="shared" si="0"/>
        <v/>
      </c>
      <c r="B66" s="153"/>
      <c r="C66" s="153"/>
      <c r="D66" s="151"/>
      <c r="E66" s="152"/>
    </row>
    <row r="67" spans="1:5" x14ac:dyDescent="0.25">
      <c r="A67" s="90" t="str">
        <f t="shared" si="0"/>
        <v/>
      </c>
      <c r="B67" s="153"/>
      <c r="C67" s="153"/>
      <c r="D67" s="151"/>
      <c r="E67" s="152"/>
    </row>
    <row r="68" spans="1:5" x14ac:dyDescent="0.25">
      <c r="A68" s="90" t="str">
        <f t="shared" si="0"/>
        <v/>
      </c>
      <c r="B68" s="153"/>
      <c r="C68" s="153"/>
      <c r="D68" s="151"/>
      <c r="E68" s="152"/>
    </row>
    <row r="69" spans="1:5" x14ac:dyDescent="0.25">
      <c r="A69" s="90" t="str">
        <f t="shared" si="0"/>
        <v/>
      </c>
      <c r="B69" s="153"/>
      <c r="C69" s="153"/>
      <c r="D69" s="151"/>
      <c r="E69" s="152"/>
    </row>
    <row r="70" spans="1:5" x14ac:dyDescent="0.25">
      <c r="A70" s="90" t="str">
        <f t="shared" si="0"/>
        <v/>
      </c>
      <c r="B70" s="153"/>
      <c r="C70" s="153"/>
      <c r="D70" s="151"/>
      <c r="E70" s="152"/>
    </row>
    <row r="71" spans="1:5" x14ac:dyDescent="0.25">
      <c r="A71" s="90" t="str">
        <f t="shared" ref="A71:A134" si="1">IF(B71&lt;&gt;"",A70+1,"")</f>
        <v/>
      </c>
      <c r="B71" s="153"/>
      <c r="C71" s="153"/>
      <c r="D71" s="151"/>
      <c r="E71" s="152"/>
    </row>
    <row r="72" spans="1:5" x14ac:dyDescent="0.25">
      <c r="A72" s="90" t="str">
        <f t="shared" si="1"/>
        <v/>
      </c>
      <c r="B72" s="153"/>
      <c r="C72" s="153"/>
      <c r="D72" s="151"/>
      <c r="E72" s="152"/>
    </row>
    <row r="73" spans="1:5" x14ac:dyDescent="0.25">
      <c r="A73" s="90" t="str">
        <f t="shared" si="1"/>
        <v/>
      </c>
      <c r="B73" s="153"/>
      <c r="C73" s="153"/>
      <c r="D73" s="151"/>
      <c r="E73" s="152"/>
    </row>
    <row r="74" spans="1:5" x14ac:dyDescent="0.25">
      <c r="A74" s="90" t="str">
        <f t="shared" si="1"/>
        <v/>
      </c>
      <c r="B74" s="153"/>
      <c r="C74" s="153"/>
      <c r="D74" s="151"/>
      <c r="E74" s="152"/>
    </row>
    <row r="75" spans="1:5" x14ac:dyDescent="0.25">
      <c r="A75" s="90" t="str">
        <f t="shared" si="1"/>
        <v/>
      </c>
      <c r="B75" s="153"/>
      <c r="C75" s="153"/>
      <c r="D75" s="151"/>
      <c r="E75" s="152"/>
    </row>
    <row r="76" spans="1:5" x14ac:dyDescent="0.25">
      <c r="A76" s="90" t="str">
        <f t="shared" si="1"/>
        <v/>
      </c>
      <c r="B76" s="153"/>
      <c r="C76" s="153"/>
      <c r="D76" s="151"/>
      <c r="E76" s="152"/>
    </row>
    <row r="77" spans="1:5" x14ac:dyDescent="0.25">
      <c r="A77" s="90" t="str">
        <f t="shared" si="1"/>
        <v/>
      </c>
      <c r="B77" s="153"/>
      <c r="C77" s="153"/>
      <c r="D77" s="151"/>
      <c r="E77" s="152"/>
    </row>
    <row r="78" spans="1:5" x14ac:dyDescent="0.25">
      <c r="A78" s="90" t="str">
        <f t="shared" si="1"/>
        <v/>
      </c>
      <c r="B78" s="153"/>
      <c r="C78" s="153"/>
      <c r="D78" s="151"/>
      <c r="E78" s="152"/>
    </row>
    <row r="79" spans="1:5" x14ac:dyDescent="0.25">
      <c r="A79" s="90" t="str">
        <f t="shared" si="1"/>
        <v/>
      </c>
      <c r="B79" s="153"/>
      <c r="C79" s="153"/>
      <c r="D79" s="151"/>
      <c r="E79" s="152"/>
    </row>
    <row r="80" spans="1:5" x14ac:dyDescent="0.25">
      <c r="A80" s="90" t="str">
        <f t="shared" si="1"/>
        <v/>
      </c>
      <c r="B80" s="153"/>
      <c r="C80" s="153"/>
      <c r="D80" s="151"/>
      <c r="E80" s="152"/>
    </row>
    <row r="81" spans="1:5" x14ac:dyDescent="0.25">
      <c r="A81" s="90" t="str">
        <f t="shared" si="1"/>
        <v/>
      </c>
      <c r="B81" s="153"/>
      <c r="C81" s="153"/>
      <c r="D81" s="151"/>
      <c r="E81" s="152"/>
    </row>
    <row r="82" spans="1:5" x14ac:dyDescent="0.25">
      <c r="A82" s="90" t="str">
        <f t="shared" si="1"/>
        <v/>
      </c>
      <c r="B82" s="153"/>
      <c r="C82" s="153"/>
      <c r="D82" s="151"/>
      <c r="E82" s="152"/>
    </row>
    <row r="83" spans="1:5" x14ac:dyDescent="0.25">
      <c r="A83" s="90" t="str">
        <f t="shared" si="1"/>
        <v/>
      </c>
      <c r="B83" s="153"/>
      <c r="C83" s="153"/>
      <c r="D83" s="151"/>
      <c r="E83" s="152"/>
    </row>
    <row r="84" spans="1:5" x14ac:dyDescent="0.25">
      <c r="A84" s="90" t="str">
        <f t="shared" si="1"/>
        <v/>
      </c>
      <c r="B84" s="153"/>
      <c r="C84" s="153"/>
      <c r="D84" s="151"/>
      <c r="E84" s="152"/>
    </row>
    <row r="85" spans="1:5" x14ac:dyDescent="0.25">
      <c r="A85" s="90" t="str">
        <f t="shared" si="1"/>
        <v/>
      </c>
      <c r="B85" s="153"/>
      <c r="C85" s="153"/>
      <c r="D85" s="151"/>
      <c r="E85" s="152"/>
    </row>
    <row r="86" spans="1:5" x14ac:dyDescent="0.25">
      <c r="A86" s="90" t="str">
        <f t="shared" si="1"/>
        <v/>
      </c>
      <c r="B86" s="153"/>
      <c r="C86" s="153"/>
      <c r="D86" s="151"/>
      <c r="E86" s="152"/>
    </row>
    <row r="87" spans="1:5" x14ac:dyDescent="0.25">
      <c r="A87" s="90" t="str">
        <f t="shared" si="1"/>
        <v/>
      </c>
      <c r="B87" s="153"/>
      <c r="C87" s="153"/>
      <c r="D87" s="151"/>
      <c r="E87" s="152"/>
    </row>
    <row r="88" spans="1:5" x14ac:dyDescent="0.25">
      <c r="A88" s="90" t="str">
        <f t="shared" si="1"/>
        <v/>
      </c>
      <c r="B88" s="153"/>
      <c r="C88" s="153"/>
      <c r="D88" s="151"/>
      <c r="E88" s="152"/>
    </row>
    <row r="89" spans="1:5" x14ac:dyDescent="0.25">
      <c r="A89" s="90" t="str">
        <f t="shared" si="1"/>
        <v/>
      </c>
      <c r="B89" s="153"/>
      <c r="C89" s="153"/>
      <c r="D89" s="151"/>
      <c r="E89" s="152"/>
    </row>
    <row r="90" spans="1:5" x14ac:dyDescent="0.25">
      <c r="A90" s="90" t="str">
        <f t="shared" si="1"/>
        <v/>
      </c>
      <c r="B90" s="153"/>
      <c r="C90" s="153"/>
      <c r="D90" s="151"/>
      <c r="E90" s="152"/>
    </row>
    <row r="91" spans="1:5" x14ac:dyDescent="0.25">
      <c r="A91" s="90" t="str">
        <f t="shared" si="1"/>
        <v/>
      </c>
      <c r="B91" s="153"/>
      <c r="C91" s="153"/>
      <c r="D91" s="151"/>
      <c r="E91" s="152"/>
    </row>
    <row r="92" spans="1:5" x14ac:dyDescent="0.25">
      <c r="A92" s="90" t="str">
        <f t="shared" si="1"/>
        <v/>
      </c>
      <c r="B92" s="153"/>
      <c r="C92" s="153"/>
      <c r="D92" s="151"/>
      <c r="E92" s="152"/>
    </row>
    <row r="93" spans="1:5" x14ac:dyDescent="0.25">
      <c r="A93" s="90" t="str">
        <f t="shared" si="1"/>
        <v/>
      </c>
      <c r="B93" s="153"/>
      <c r="C93" s="153"/>
      <c r="D93" s="151"/>
      <c r="E93" s="152"/>
    </row>
    <row r="94" spans="1:5" x14ac:dyDescent="0.25">
      <c r="A94" s="90" t="str">
        <f t="shared" si="1"/>
        <v/>
      </c>
      <c r="B94" s="153"/>
      <c r="C94" s="153"/>
      <c r="D94" s="151"/>
      <c r="E94" s="152"/>
    </row>
    <row r="95" spans="1:5" x14ac:dyDescent="0.25">
      <c r="A95" s="90" t="str">
        <f t="shared" si="1"/>
        <v/>
      </c>
      <c r="B95" s="153"/>
      <c r="C95" s="153"/>
      <c r="D95" s="151"/>
      <c r="E95" s="152"/>
    </row>
    <row r="96" spans="1:5" x14ac:dyDescent="0.25">
      <c r="A96" s="90" t="str">
        <f t="shared" si="1"/>
        <v/>
      </c>
      <c r="B96" s="153"/>
      <c r="C96" s="153"/>
      <c r="D96" s="151"/>
      <c r="E96" s="152"/>
    </row>
    <row r="97" spans="1:5" x14ac:dyDescent="0.25">
      <c r="A97" s="90" t="str">
        <f t="shared" si="1"/>
        <v/>
      </c>
      <c r="B97" s="153"/>
      <c r="C97" s="153"/>
      <c r="D97" s="151"/>
      <c r="E97" s="152"/>
    </row>
    <row r="98" spans="1:5" x14ac:dyDescent="0.25">
      <c r="A98" s="90" t="str">
        <f t="shared" si="1"/>
        <v/>
      </c>
      <c r="B98" s="153"/>
      <c r="C98" s="153"/>
      <c r="D98" s="151"/>
      <c r="E98" s="152"/>
    </row>
    <row r="99" spans="1:5" x14ac:dyDescent="0.25">
      <c r="A99" s="90" t="str">
        <f t="shared" si="1"/>
        <v/>
      </c>
      <c r="B99" s="153"/>
      <c r="C99" s="153"/>
      <c r="D99" s="151"/>
      <c r="E99" s="152"/>
    </row>
    <row r="100" spans="1:5" x14ac:dyDescent="0.25">
      <c r="A100" s="90" t="str">
        <f t="shared" si="1"/>
        <v/>
      </c>
      <c r="B100" s="153"/>
      <c r="C100" s="153"/>
      <c r="D100" s="151"/>
      <c r="E100" s="152"/>
    </row>
    <row r="101" spans="1:5" x14ac:dyDescent="0.25">
      <c r="A101" s="90" t="str">
        <f t="shared" si="1"/>
        <v/>
      </c>
      <c r="B101" s="153"/>
      <c r="C101" s="153"/>
      <c r="D101" s="151"/>
      <c r="E101" s="152"/>
    </row>
    <row r="102" spans="1:5" x14ac:dyDescent="0.25">
      <c r="A102" s="90" t="str">
        <f t="shared" si="1"/>
        <v/>
      </c>
      <c r="B102" s="153"/>
      <c r="C102" s="153"/>
      <c r="D102" s="151"/>
      <c r="E102" s="152"/>
    </row>
    <row r="103" spans="1:5" x14ac:dyDescent="0.25">
      <c r="A103" s="90" t="str">
        <f t="shared" si="1"/>
        <v/>
      </c>
      <c r="B103" s="153"/>
      <c r="C103" s="153"/>
      <c r="D103" s="151"/>
      <c r="E103" s="152"/>
    </row>
    <row r="104" spans="1:5" x14ac:dyDescent="0.25">
      <c r="A104" s="90" t="str">
        <f t="shared" si="1"/>
        <v/>
      </c>
      <c r="B104" s="153"/>
      <c r="C104" s="153"/>
      <c r="D104" s="151"/>
      <c r="E104" s="152"/>
    </row>
    <row r="105" spans="1:5" x14ac:dyDescent="0.25">
      <c r="A105" s="90" t="str">
        <f t="shared" si="1"/>
        <v/>
      </c>
      <c r="B105" s="153"/>
      <c r="C105" s="153"/>
      <c r="D105" s="151"/>
      <c r="E105" s="152"/>
    </row>
    <row r="106" spans="1:5" x14ac:dyDescent="0.25">
      <c r="A106" s="90" t="str">
        <f t="shared" si="1"/>
        <v/>
      </c>
      <c r="B106" s="153"/>
      <c r="C106" s="153"/>
      <c r="D106" s="151"/>
      <c r="E106" s="152"/>
    </row>
    <row r="107" spans="1:5" x14ac:dyDescent="0.25">
      <c r="A107" s="90" t="str">
        <f t="shared" si="1"/>
        <v/>
      </c>
      <c r="B107" s="153"/>
      <c r="C107" s="153"/>
      <c r="D107" s="151"/>
      <c r="E107" s="152"/>
    </row>
    <row r="108" spans="1:5" x14ac:dyDescent="0.25">
      <c r="A108" s="90" t="str">
        <f t="shared" si="1"/>
        <v/>
      </c>
      <c r="B108" s="153"/>
      <c r="C108" s="153"/>
      <c r="D108" s="151"/>
      <c r="E108" s="152"/>
    </row>
    <row r="109" spans="1:5" x14ac:dyDescent="0.25">
      <c r="A109" s="90" t="str">
        <f t="shared" si="1"/>
        <v/>
      </c>
      <c r="B109" s="153"/>
      <c r="C109" s="153"/>
      <c r="D109" s="151"/>
      <c r="E109" s="152"/>
    </row>
    <row r="110" spans="1:5" x14ac:dyDescent="0.25">
      <c r="A110" s="90" t="str">
        <f t="shared" si="1"/>
        <v/>
      </c>
      <c r="B110" s="153"/>
      <c r="C110" s="153"/>
      <c r="D110" s="151"/>
      <c r="E110" s="152"/>
    </row>
    <row r="111" spans="1:5" x14ac:dyDescent="0.25">
      <c r="A111" s="90" t="str">
        <f t="shared" si="1"/>
        <v/>
      </c>
      <c r="B111" s="153"/>
      <c r="C111" s="153"/>
      <c r="D111" s="151"/>
      <c r="E111" s="152"/>
    </row>
    <row r="112" spans="1:5" x14ac:dyDescent="0.25">
      <c r="A112" s="90" t="str">
        <f t="shared" si="1"/>
        <v/>
      </c>
      <c r="B112" s="153"/>
      <c r="C112" s="153"/>
      <c r="D112" s="151"/>
      <c r="E112" s="152"/>
    </row>
    <row r="113" spans="1:5" x14ac:dyDescent="0.25">
      <c r="A113" s="90" t="str">
        <f t="shared" si="1"/>
        <v/>
      </c>
      <c r="B113" s="153"/>
      <c r="C113" s="153"/>
      <c r="D113" s="151"/>
      <c r="E113" s="152"/>
    </row>
    <row r="114" spans="1:5" x14ac:dyDescent="0.25">
      <c r="A114" s="90" t="str">
        <f t="shared" si="1"/>
        <v/>
      </c>
      <c r="B114" s="153"/>
      <c r="C114" s="153"/>
      <c r="D114" s="151"/>
      <c r="E114" s="152"/>
    </row>
    <row r="115" spans="1:5" x14ac:dyDescent="0.25">
      <c r="A115" s="90" t="str">
        <f t="shared" si="1"/>
        <v/>
      </c>
      <c r="B115" s="153"/>
      <c r="C115" s="153"/>
      <c r="D115" s="151"/>
      <c r="E115" s="152"/>
    </row>
    <row r="116" spans="1:5" x14ac:dyDescent="0.25">
      <c r="A116" s="90" t="str">
        <f t="shared" si="1"/>
        <v/>
      </c>
      <c r="B116" s="153"/>
      <c r="C116" s="153"/>
      <c r="D116" s="151"/>
      <c r="E116" s="152"/>
    </row>
    <row r="117" spans="1:5" x14ac:dyDescent="0.25">
      <c r="A117" s="90" t="str">
        <f t="shared" si="1"/>
        <v/>
      </c>
      <c r="B117" s="153"/>
      <c r="C117" s="153"/>
      <c r="D117" s="151"/>
      <c r="E117" s="152"/>
    </row>
    <row r="118" spans="1:5" x14ac:dyDescent="0.25">
      <c r="A118" s="90" t="str">
        <f t="shared" si="1"/>
        <v/>
      </c>
      <c r="B118" s="153"/>
      <c r="C118" s="153"/>
      <c r="D118" s="151"/>
      <c r="E118" s="152"/>
    </row>
    <row r="119" spans="1:5" x14ac:dyDescent="0.25">
      <c r="A119" s="90" t="str">
        <f t="shared" si="1"/>
        <v/>
      </c>
      <c r="B119" s="153"/>
      <c r="C119" s="153"/>
      <c r="D119" s="151"/>
      <c r="E119" s="152"/>
    </row>
    <row r="120" spans="1:5" x14ac:dyDescent="0.25">
      <c r="A120" s="90" t="str">
        <f t="shared" si="1"/>
        <v/>
      </c>
      <c r="B120" s="153"/>
      <c r="C120" s="153"/>
      <c r="D120" s="151"/>
      <c r="E120" s="152"/>
    </row>
    <row r="121" spans="1:5" x14ac:dyDescent="0.25">
      <c r="A121" s="90" t="str">
        <f t="shared" si="1"/>
        <v/>
      </c>
      <c r="B121" s="153"/>
      <c r="C121" s="153"/>
      <c r="D121" s="151"/>
      <c r="E121" s="152"/>
    </row>
    <row r="122" spans="1:5" x14ac:dyDescent="0.25">
      <c r="A122" s="90" t="str">
        <f t="shared" si="1"/>
        <v/>
      </c>
      <c r="B122" s="153"/>
      <c r="C122" s="153"/>
      <c r="D122" s="151"/>
      <c r="E122" s="152"/>
    </row>
    <row r="123" spans="1:5" x14ac:dyDescent="0.25">
      <c r="A123" s="90" t="str">
        <f t="shared" si="1"/>
        <v/>
      </c>
      <c r="B123" s="153"/>
      <c r="C123" s="153"/>
      <c r="D123" s="151"/>
      <c r="E123" s="152"/>
    </row>
    <row r="124" spans="1:5" x14ac:dyDescent="0.25">
      <c r="A124" s="90" t="str">
        <f t="shared" si="1"/>
        <v/>
      </c>
      <c r="B124" s="153"/>
      <c r="C124" s="153"/>
      <c r="D124" s="151"/>
      <c r="E124" s="152"/>
    </row>
    <row r="125" spans="1:5" x14ac:dyDescent="0.25">
      <c r="A125" s="90" t="str">
        <f t="shared" si="1"/>
        <v/>
      </c>
      <c r="B125" s="153"/>
      <c r="C125" s="153"/>
      <c r="D125" s="151"/>
      <c r="E125" s="152"/>
    </row>
    <row r="126" spans="1:5" x14ac:dyDescent="0.25">
      <c r="A126" s="90" t="str">
        <f t="shared" si="1"/>
        <v/>
      </c>
      <c r="B126" s="153"/>
      <c r="C126" s="153"/>
      <c r="D126" s="151"/>
      <c r="E126" s="152"/>
    </row>
    <row r="127" spans="1:5" x14ac:dyDescent="0.25">
      <c r="A127" s="90" t="str">
        <f t="shared" si="1"/>
        <v/>
      </c>
      <c r="B127" s="153"/>
      <c r="C127" s="153"/>
      <c r="D127" s="151"/>
      <c r="E127" s="152"/>
    </row>
    <row r="128" spans="1:5" x14ac:dyDescent="0.25">
      <c r="A128" s="90" t="str">
        <f t="shared" si="1"/>
        <v/>
      </c>
      <c r="B128" s="153"/>
      <c r="C128" s="153"/>
      <c r="D128" s="151"/>
      <c r="E128" s="152"/>
    </row>
    <row r="129" spans="1:5" x14ac:dyDescent="0.25">
      <c r="A129" s="90" t="str">
        <f t="shared" si="1"/>
        <v/>
      </c>
      <c r="B129" s="153"/>
      <c r="C129" s="153"/>
      <c r="D129" s="151"/>
      <c r="E129" s="152"/>
    </row>
    <row r="130" spans="1:5" x14ac:dyDescent="0.25">
      <c r="A130" s="90" t="str">
        <f t="shared" si="1"/>
        <v/>
      </c>
      <c r="B130" s="153"/>
      <c r="C130" s="153"/>
      <c r="D130" s="151"/>
      <c r="E130" s="152"/>
    </row>
    <row r="131" spans="1:5" x14ac:dyDescent="0.25">
      <c r="A131" s="90" t="str">
        <f t="shared" si="1"/>
        <v/>
      </c>
      <c r="B131" s="153"/>
      <c r="C131" s="153"/>
      <c r="D131" s="151"/>
      <c r="E131" s="152"/>
    </row>
    <row r="132" spans="1:5" x14ac:dyDescent="0.25">
      <c r="A132" s="90" t="str">
        <f t="shared" si="1"/>
        <v/>
      </c>
      <c r="B132" s="153"/>
      <c r="C132" s="153"/>
      <c r="D132" s="151"/>
      <c r="E132" s="152"/>
    </row>
    <row r="133" spans="1:5" x14ac:dyDescent="0.25">
      <c r="A133" s="90" t="str">
        <f t="shared" si="1"/>
        <v/>
      </c>
      <c r="B133" s="153"/>
      <c r="C133" s="153"/>
      <c r="D133" s="151"/>
      <c r="E133" s="152"/>
    </row>
    <row r="134" spans="1:5" x14ac:dyDescent="0.25">
      <c r="A134" s="90" t="str">
        <f t="shared" si="1"/>
        <v/>
      </c>
      <c r="B134" s="153"/>
      <c r="C134" s="153"/>
      <c r="D134" s="151"/>
      <c r="E134" s="152"/>
    </row>
    <row r="135" spans="1:5" x14ac:dyDescent="0.25">
      <c r="A135" s="90" t="str">
        <f t="shared" ref="A135:A198" si="2">IF(B135&lt;&gt;"",A134+1,"")</f>
        <v/>
      </c>
      <c r="B135" s="153"/>
      <c r="C135" s="153"/>
      <c r="D135" s="151"/>
      <c r="E135" s="152"/>
    </row>
    <row r="136" spans="1:5" x14ac:dyDescent="0.25">
      <c r="A136" s="90" t="str">
        <f t="shared" si="2"/>
        <v/>
      </c>
      <c r="B136" s="153"/>
      <c r="C136" s="153"/>
      <c r="D136" s="151"/>
      <c r="E136" s="152"/>
    </row>
    <row r="137" spans="1:5" x14ac:dyDescent="0.25">
      <c r="A137" s="90" t="str">
        <f t="shared" si="2"/>
        <v/>
      </c>
      <c r="B137" s="153"/>
      <c r="C137" s="153"/>
      <c r="D137" s="151"/>
      <c r="E137" s="152"/>
    </row>
    <row r="138" spans="1:5" x14ac:dyDescent="0.25">
      <c r="A138" s="90" t="str">
        <f t="shared" si="2"/>
        <v/>
      </c>
      <c r="B138" s="153"/>
      <c r="C138" s="153"/>
      <c r="D138" s="151"/>
      <c r="E138" s="152"/>
    </row>
    <row r="139" spans="1:5" x14ac:dyDescent="0.25">
      <c r="A139" s="90" t="str">
        <f t="shared" si="2"/>
        <v/>
      </c>
      <c r="B139" s="153"/>
      <c r="C139" s="153"/>
      <c r="D139" s="151"/>
      <c r="E139" s="152"/>
    </row>
    <row r="140" spans="1:5" x14ac:dyDescent="0.25">
      <c r="A140" s="90" t="str">
        <f t="shared" si="2"/>
        <v/>
      </c>
      <c r="B140" s="153"/>
      <c r="C140" s="153"/>
      <c r="D140" s="151"/>
      <c r="E140" s="152"/>
    </row>
    <row r="141" spans="1:5" x14ac:dyDescent="0.25">
      <c r="A141" s="90" t="str">
        <f t="shared" si="2"/>
        <v/>
      </c>
      <c r="B141" s="153"/>
      <c r="C141" s="153"/>
      <c r="D141" s="151"/>
      <c r="E141" s="152"/>
    </row>
    <row r="142" spans="1:5" x14ac:dyDescent="0.25">
      <c r="A142" s="90" t="str">
        <f t="shared" si="2"/>
        <v/>
      </c>
      <c r="B142" s="153"/>
      <c r="C142" s="153"/>
      <c r="D142" s="151"/>
      <c r="E142" s="152"/>
    </row>
    <row r="143" spans="1:5" x14ac:dyDescent="0.25">
      <c r="A143" s="90" t="str">
        <f t="shared" si="2"/>
        <v/>
      </c>
      <c r="B143" s="153"/>
      <c r="C143" s="153"/>
      <c r="D143" s="151"/>
      <c r="E143" s="152"/>
    </row>
    <row r="144" spans="1:5" x14ac:dyDescent="0.25">
      <c r="A144" s="90" t="str">
        <f t="shared" si="2"/>
        <v/>
      </c>
      <c r="B144" s="153"/>
      <c r="C144" s="153"/>
      <c r="D144" s="151"/>
      <c r="E144" s="152"/>
    </row>
    <row r="145" spans="1:5" x14ac:dyDescent="0.25">
      <c r="A145" s="90" t="str">
        <f t="shared" si="2"/>
        <v/>
      </c>
      <c r="B145" s="153"/>
      <c r="C145" s="153"/>
      <c r="D145" s="151"/>
      <c r="E145" s="152"/>
    </row>
    <row r="146" spans="1:5" x14ac:dyDescent="0.25">
      <c r="A146" s="90" t="str">
        <f t="shared" si="2"/>
        <v/>
      </c>
      <c r="B146" s="153"/>
      <c r="C146" s="153"/>
      <c r="D146" s="151"/>
      <c r="E146" s="152"/>
    </row>
    <row r="147" spans="1:5" x14ac:dyDescent="0.25">
      <c r="A147" s="90" t="str">
        <f t="shared" si="2"/>
        <v/>
      </c>
      <c r="B147" s="153"/>
      <c r="C147" s="153"/>
      <c r="D147" s="151"/>
      <c r="E147" s="152"/>
    </row>
    <row r="148" spans="1:5" x14ac:dyDescent="0.25">
      <c r="A148" s="90" t="str">
        <f t="shared" si="2"/>
        <v/>
      </c>
      <c r="B148" s="153"/>
      <c r="C148" s="153"/>
      <c r="D148" s="151"/>
      <c r="E148" s="152"/>
    </row>
    <row r="149" spans="1:5" x14ac:dyDescent="0.25">
      <c r="A149" s="90" t="str">
        <f t="shared" si="2"/>
        <v/>
      </c>
      <c r="B149" s="153"/>
      <c r="C149" s="153"/>
      <c r="D149" s="151"/>
      <c r="E149" s="152"/>
    </row>
    <row r="150" spans="1:5" x14ac:dyDescent="0.25">
      <c r="A150" s="90" t="str">
        <f t="shared" si="2"/>
        <v/>
      </c>
      <c r="B150" s="153"/>
      <c r="C150" s="153"/>
      <c r="D150" s="151"/>
      <c r="E150" s="152"/>
    </row>
    <row r="151" spans="1:5" x14ac:dyDescent="0.25">
      <c r="A151" s="90" t="str">
        <f t="shared" si="2"/>
        <v/>
      </c>
      <c r="B151" s="153"/>
      <c r="C151" s="153"/>
      <c r="D151" s="151"/>
      <c r="E151" s="152"/>
    </row>
    <row r="152" spans="1:5" x14ac:dyDescent="0.25">
      <c r="A152" s="90" t="str">
        <f t="shared" si="2"/>
        <v/>
      </c>
      <c r="B152" s="153"/>
      <c r="C152" s="153"/>
      <c r="D152" s="151"/>
      <c r="E152" s="152"/>
    </row>
    <row r="153" spans="1:5" x14ac:dyDescent="0.25">
      <c r="A153" s="90" t="str">
        <f t="shared" si="2"/>
        <v/>
      </c>
      <c r="B153" s="153"/>
      <c r="C153" s="153"/>
      <c r="D153" s="151"/>
      <c r="E153" s="152"/>
    </row>
    <row r="154" spans="1:5" x14ac:dyDescent="0.25">
      <c r="A154" s="90" t="str">
        <f t="shared" si="2"/>
        <v/>
      </c>
      <c r="B154" s="153"/>
      <c r="C154" s="153"/>
      <c r="D154" s="151"/>
      <c r="E154" s="152"/>
    </row>
    <row r="155" spans="1:5" x14ac:dyDescent="0.25">
      <c r="A155" s="90" t="str">
        <f t="shared" si="2"/>
        <v/>
      </c>
      <c r="B155" s="153"/>
      <c r="C155" s="153"/>
      <c r="D155" s="151"/>
      <c r="E155" s="152"/>
    </row>
    <row r="156" spans="1:5" x14ac:dyDescent="0.25">
      <c r="A156" s="90" t="str">
        <f t="shared" si="2"/>
        <v/>
      </c>
      <c r="B156" s="153"/>
      <c r="C156" s="153"/>
      <c r="D156" s="151"/>
      <c r="E156" s="152"/>
    </row>
    <row r="157" spans="1:5" x14ac:dyDescent="0.25">
      <c r="A157" s="90" t="str">
        <f t="shared" si="2"/>
        <v/>
      </c>
      <c r="B157" s="153"/>
      <c r="C157" s="153"/>
      <c r="D157" s="151"/>
      <c r="E157" s="152"/>
    </row>
    <row r="158" spans="1:5" x14ac:dyDescent="0.25">
      <c r="A158" s="90" t="str">
        <f t="shared" si="2"/>
        <v/>
      </c>
      <c r="B158" s="153"/>
      <c r="C158" s="153"/>
      <c r="D158" s="151"/>
      <c r="E158" s="152"/>
    </row>
    <row r="159" spans="1:5" x14ac:dyDescent="0.25">
      <c r="A159" s="90" t="str">
        <f t="shared" si="2"/>
        <v/>
      </c>
      <c r="B159" s="153"/>
      <c r="C159" s="153"/>
      <c r="D159" s="151"/>
      <c r="E159" s="152"/>
    </row>
    <row r="160" spans="1:5" x14ac:dyDescent="0.25">
      <c r="A160" s="90" t="str">
        <f t="shared" si="2"/>
        <v/>
      </c>
      <c r="B160" s="153"/>
      <c r="C160" s="153"/>
      <c r="D160" s="151"/>
      <c r="E160" s="152"/>
    </row>
    <row r="161" spans="1:5" x14ac:dyDescent="0.25">
      <c r="A161" s="90" t="str">
        <f t="shared" si="2"/>
        <v/>
      </c>
      <c r="B161" s="153"/>
      <c r="C161" s="153"/>
      <c r="D161" s="151"/>
      <c r="E161" s="152"/>
    </row>
    <row r="162" spans="1:5" x14ac:dyDescent="0.25">
      <c r="A162" s="90" t="str">
        <f t="shared" si="2"/>
        <v/>
      </c>
      <c r="B162" s="153"/>
      <c r="C162" s="153"/>
      <c r="D162" s="151"/>
      <c r="E162" s="152"/>
    </row>
    <row r="163" spans="1:5" x14ac:dyDescent="0.25">
      <c r="A163" s="90" t="str">
        <f t="shared" si="2"/>
        <v/>
      </c>
      <c r="B163" s="153"/>
      <c r="C163" s="153"/>
      <c r="D163" s="151"/>
      <c r="E163" s="152"/>
    </row>
    <row r="164" spans="1:5" x14ac:dyDescent="0.25">
      <c r="A164" s="90" t="str">
        <f t="shared" si="2"/>
        <v/>
      </c>
      <c r="B164" s="153"/>
      <c r="C164" s="153"/>
      <c r="D164" s="151"/>
      <c r="E164" s="152"/>
    </row>
    <row r="165" spans="1:5" x14ac:dyDescent="0.25">
      <c r="A165" s="90" t="str">
        <f t="shared" si="2"/>
        <v/>
      </c>
      <c r="B165" s="153"/>
      <c r="C165" s="153"/>
      <c r="D165" s="151"/>
      <c r="E165" s="152"/>
    </row>
    <row r="166" spans="1:5" x14ac:dyDescent="0.25">
      <c r="A166" s="90" t="str">
        <f t="shared" si="2"/>
        <v/>
      </c>
      <c r="B166" s="153"/>
      <c r="C166" s="153"/>
      <c r="D166" s="151"/>
      <c r="E166" s="152"/>
    </row>
    <row r="167" spans="1:5" x14ac:dyDescent="0.25">
      <c r="A167" s="90" t="str">
        <f t="shared" si="2"/>
        <v/>
      </c>
      <c r="B167" s="153"/>
      <c r="C167" s="153"/>
      <c r="D167" s="151"/>
      <c r="E167" s="152"/>
    </row>
    <row r="168" spans="1:5" x14ac:dyDescent="0.25">
      <c r="A168" s="90" t="str">
        <f t="shared" si="2"/>
        <v/>
      </c>
      <c r="B168" s="153"/>
      <c r="C168" s="153"/>
      <c r="D168" s="151"/>
      <c r="E168" s="152"/>
    </row>
    <row r="169" spans="1:5" x14ac:dyDescent="0.25">
      <c r="A169" s="90" t="str">
        <f t="shared" si="2"/>
        <v/>
      </c>
      <c r="B169" s="153"/>
      <c r="C169" s="153"/>
      <c r="D169" s="151"/>
      <c r="E169" s="152"/>
    </row>
    <row r="170" spans="1:5" x14ac:dyDescent="0.25">
      <c r="A170" s="90" t="str">
        <f t="shared" si="2"/>
        <v/>
      </c>
      <c r="B170" s="153"/>
      <c r="C170" s="153"/>
      <c r="D170" s="151"/>
      <c r="E170" s="152"/>
    </row>
    <row r="171" spans="1:5" x14ac:dyDescent="0.25">
      <c r="A171" s="90" t="str">
        <f t="shared" si="2"/>
        <v/>
      </c>
      <c r="B171" s="153"/>
      <c r="C171" s="153"/>
      <c r="D171" s="151"/>
      <c r="E171" s="152"/>
    </row>
    <row r="172" spans="1:5" x14ac:dyDescent="0.25">
      <c r="A172" s="90" t="str">
        <f t="shared" si="2"/>
        <v/>
      </c>
      <c r="B172" s="153"/>
      <c r="C172" s="153"/>
      <c r="D172" s="151"/>
      <c r="E172" s="152"/>
    </row>
    <row r="173" spans="1:5" x14ac:dyDescent="0.25">
      <c r="A173" s="90" t="str">
        <f t="shared" si="2"/>
        <v/>
      </c>
      <c r="B173" s="153"/>
      <c r="C173" s="153"/>
      <c r="D173" s="151"/>
      <c r="E173" s="152"/>
    </row>
    <row r="174" spans="1:5" x14ac:dyDescent="0.25">
      <c r="A174" s="90" t="str">
        <f t="shared" si="2"/>
        <v/>
      </c>
      <c r="B174" s="153"/>
      <c r="C174" s="153"/>
      <c r="D174" s="151"/>
      <c r="E174" s="152"/>
    </row>
    <row r="175" spans="1:5" x14ac:dyDescent="0.25">
      <c r="A175" s="90" t="str">
        <f t="shared" si="2"/>
        <v/>
      </c>
      <c r="B175" s="153"/>
      <c r="C175" s="153"/>
      <c r="D175" s="151"/>
      <c r="E175" s="152"/>
    </row>
    <row r="176" spans="1:5" x14ac:dyDescent="0.25">
      <c r="A176" s="90" t="str">
        <f t="shared" si="2"/>
        <v/>
      </c>
      <c r="B176" s="153"/>
      <c r="C176" s="153"/>
      <c r="D176" s="151"/>
      <c r="E176" s="152"/>
    </row>
    <row r="177" spans="1:5" x14ac:dyDescent="0.25">
      <c r="A177" s="90" t="str">
        <f t="shared" si="2"/>
        <v/>
      </c>
      <c r="B177" s="153"/>
      <c r="C177" s="153"/>
      <c r="D177" s="151"/>
      <c r="E177" s="152"/>
    </row>
    <row r="178" spans="1:5" x14ac:dyDescent="0.25">
      <c r="A178" s="90" t="str">
        <f t="shared" si="2"/>
        <v/>
      </c>
      <c r="B178" s="153"/>
      <c r="C178" s="153"/>
      <c r="D178" s="151"/>
      <c r="E178" s="152"/>
    </row>
    <row r="179" spans="1:5" x14ac:dyDescent="0.25">
      <c r="A179" s="90" t="str">
        <f t="shared" si="2"/>
        <v/>
      </c>
      <c r="B179" s="153"/>
      <c r="C179" s="153"/>
      <c r="D179" s="151"/>
      <c r="E179" s="152"/>
    </row>
    <row r="180" spans="1:5" x14ac:dyDescent="0.25">
      <c r="A180" s="90" t="str">
        <f t="shared" si="2"/>
        <v/>
      </c>
      <c r="B180" s="153"/>
      <c r="C180" s="153"/>
      <c r="D180" s="151"/>
      <c r="E180" s="152"/>
    </row>
    <row r="181" spans="1:5" x14ac:dyDescent="0.25">
      <c r="A181" s="90" t="str">
        <f t="shared" si="2"/>
        <v/>
      </c>
      <c r="B181" s="153"/>
      <c r="C181" s="153"/>
      <c r="D181" s="151"/>
      <c r="E181" s="152"/>
    </row>
    <row r="182" spans="1:5" x14ac:dyDescent="0.25">
      <c r="A182" s="90" t="str">
        <f t="shared" si="2"/>
        <v/>
      </c>
      <c r="B182" s="153"/>
      <c r="C182" s="153"/>
      <c r="D182" s="151"/>
      <c r="E182" s="152"/>
    </row>
    <row r="183" spans="1:5" x14ac:dyDescent="0.25">
      <c r="A183" s="90" t="str">
        <f t="shared" si="2"/>
        <v/>
      </c>
      <c r="B183" s="153"/>
      <c r="C183" s="153"/>
      <c r="D183" s="151"/>
      <c r="E183" s="152"/>
    </row>
    <row r="184" spans="1:5" x14ac:dyDescent="0.25">
      <c r="A184" s="90" t="str">
        <f t="shared" si="2"/>
        <v/>
      </c>
      <c r="B184" s="153"/>
      <c r="C184" s="153"/>
      <c r="D184" s="151"/>
      <c r="E184" s="152"/>
    </row>
    <row r="185" spans="1:5" x14ac:dyDescent="0.25">
      <c r="A185" s="90" t="str">
        <f t="shared" si="2"/>
        <v/>
      </c>
      <c r="B185" s="153"/>
      <c r="C185" s="153"/>
      <c r="D185" s="151"/>
      <c r="E185" s="152"/>
    </row>
    <row r="186" spans="1:5" x14ac:dyDescent="0.25">
      <c r="A186" s="90" t="str">
        <f t="shared" si="2"/>
        <v/>
      </c>
      <c r="B186" s="153"/>
      <c r="C186" s="153"/>
      <c r="D186" s="151"/>
      <c r="E186" s="152"/>
    </row>
    <row r="187" spans="1:5" x14ac:dyDescent="0.25">
      <c r="A187" s="90" t="str">
        <f t="shared" si="2"/>
        <v/>
      </c>
      <c r="B187" s="153"/>
      <c r="C187" s="153"/>
      <c r="D187" s="151"/>
      <c r="E187" s="152"/>
    </row>
    <row r="188" spans="1:5" x14ac:dyDescent="0.25">
      <c r="A188" s="90" t="str">
        <f t="shared" si="2"/>
        <v/>
      </c>
      <c r="B188" s="153"/>
      <c r="C188" s="153"/>
      <c r="D188" s="151"/>
      <c r="E188" s="152"/>
    </row>
    <row r="189" spans="1:5" x14ac:dyDescent="0.25">
      <c r="A189" s="90" t="str">
        <f t="shared" si="2"/>
        <v/>
      </c>
      <c r="B189" s="153"/>
      <c r="C189" s="153"/>
      <c r="D189" s="151"/>
      <c r="E189" s="152"/>
    </row>
    <row r="190" spans="1:5" x14ac:dyDescent="0.25">
      <c r="A190" s="90" t="str">
        <f t="shared" si="2"/>
        <v/>
      </c>
      <c r="B190" s="153"/>
      <c r="C190" s="153"/>
      <c r="D190" s="151"/>
      <c r="E190" s="152"/>
    </row>
    <row r="191" spans="1:5" x14ac:dyDescent="0.25">
      <c r="A191" s="90" t="str">
        <f t="shared" si="2"/>
        <v/>
      </c>
      <c r="B191" s="153"/>
      <c r="C191" s="153"/>
      <c r="D191" s="151"/>
      <c r="E191" s="152"/>
    </row>
    <row r="192" spans="1:5" x14ac:dyDescent="0.25">
      <c r="A192" s="90" t="str">
        <f t="shared" si="2"/>
        <v/>
      </c>
      <c r="B192" s="153"/>
      <c r="C192" s="153"/>
      <c r="D192" s="151"/>
      <c r="E192" s="152"/>
    </row>
    <row r="193" spans="1:5" x14ac:dyDescent="0.25">
      <c r="A193" s="90" t="str">
        <f t="shared" si="2"/>
        <v/>
      </c>
      <c r="B193" s="153"/>
      <c r="C193" s="153"/>
      <c r="D193" s="151"/>
      <c r="E193" s="152"/>
    </row>
    <row r="194" spans="1:5" x14ac:dyDescent="0.25">
      <c r="A194" s="90" t="str">
        <f t="shared" si="2"/>
        <v/>
      </c>
      <c r="B194" s="153"/>
      <c r="C194" s="153"/>
      <c r="D194" s="151"/>
      <c r="E194" s="152"/>
    </row>
    <row r="195" spans="1:5" x14ac:dyDescent="0.25">
      <c r="A195" s="90" t="str">
        <f t="shared" si="2"/>
        <v/>
      </c>
      <c r="B195" s="153"/>
      <c r="C195" s="153"/>
      <c r="D195" s="151"/>
      <c r="E195" s="152"/>
    </row>
    <row r="196" spans="1:5" x14ac:dyDescent="0.25">
      <c r="A196" s="90" t="str">
        <f t="shared" si="2"/>
        <v/>
      </c>
      <c r="B196" s="153"/>
      <c r="C196" s="153"/>
      <c r="D196" s="151"/>
      <c r="E196" s="151"/>
    </row>
    <row r="197" spans="1:5" x14ac:dyDescent="0.25">
      <c r="A197" s="90" t="str">
        <f t="shared" si="2"/>
        <v/>
      </c>
      <c r="B197" s="153"/>
      <c r="C197" s="153"/>
      <c r="D197" s="151"/>
      <c r="E197" s="151"/>
    </row>
    <row r="198" spans="1:5" x14ac:dyDescent="0.25">
      <c r="A198" s="90" t="str">
        <f t="shared" si="2"/>
        <v/>
      </c>
      <c r="B198" s="153"/>
      <c r="C198" s="153"/>
      <c r="D198" s="151"/>
      <c r="E198" s="151"/>
    </row>
    <row r="199" spans="1:5" x14ac:dyDescent="0.25">
      <c r="A199" s="90" t="str">
        <f>IF(B199&lt;&gt;"",A198+1,"")</f>
        <v/>
      </c>
      <c r="B199" s="153"/>
      <c r="C199" s="153"/>
      <c r="D199" s="151"/>
      <c r="E199" s="151"/>
    </row>
    <row r="200" spans="1:5" x14ac:dyDescent="0.25">
      <c r="A200" s="90" t="str">
        <f>IF(B200&lt;&gt;"",A199+1,"")</f>
        <v/>
      </c>
      <c r="B200" s="153"/>
      <c r="C200" s="153"/>
      <c r="D200" s="151"/>
      <c r="E200" s="151"/>
    </row>
  </sheetData>
  <sheetProtection algorithmName="SHA-512" hashValue="nSGJ3sA5yOjJ+fxDMvvvPNTJhZ5J20XLyk0HuB6CbrFkhe/ROAjSVGwyD2qIZZuhDWkAcpBkhWviWcU8gsoetg==" saltValue="BiBifxIERmDvsfytFJM9cQ==" spinCount="100000" sheet="1" objects="1" scenarios="1"/>
  <mergeCells count="1">
    <mergeCell ref="B1:E1"/>
  </mergeCells>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784FE-FE06-4E3E-8A3D-7B418E3BB2BB}">
  <sheetPr codeName="Hoja3">
    <tabColor rgb="FF00B050"/>
  </sheetPr>
  <dimension ref="A1:AT642"/>
  <sheetViews>
    <sheetView zoomScale="90" zoomScaleNormal="90" workbookViewId="0">
      <selection activeCell="D9" sqref="D9:F9"/>
    </sheetView>
  </sheetViews>
  <sheetFormatPr defaultColWidth="11.42578125" defaultRowHeight="15" x14ac:dyDescent="0.25"/>
  <cols>
    <col min="1" max="1" width="1.85546875" style="99" customWidth="1"/>
    <col min="2" max="2" width="24.28515625" style="100" customWidth="1"/>
    <col min="3" max="3" width="16" style="100" customWidth="1"/>
    <col min="4" max="4" width="12.28515625" style="100" customWidth="1"/>
    <col min="5" max="5" width="12.7109375" style="100" customWidth="1"/>
    <col min="6" max="6" width="15.7109375" style="100" customWidth="1"/>
    <col min="7" max="7" width="19.5703125" style="100" bestFit="1" customWidth="1"/>
    <col min="8" max="8" width="1.5703125" style="100" customWidth="1"/>
    <col min="9" max="9" width="21.7109375" style="100" customWidth="1"/>
    <col min="10" max="10" width="13.28515625" style="100" customWidth="1"/>
    <col min="11" max="11" width="12.5703125" style="100" customWidth="1"/>
    <col min="12" max="13" width="14.85546875" style="100" customWidth="1"/>
    <col min="14" max="14" width="19.5703125" style="100" bestFit="1" customWidth="1"/>
    <col min="15" max="15" width="1.7109375" style="100" customWidth="1"/>
    <col min="16" max="16" width="24.28515625" style="100" customWidth="1"/>
    <col min="17" max="17" width="13.5703125" style="100" customWidth="1"/>
    <col min="18" max="18" width="12.28515625" style="100" customWidth="1"/>
    <col min="19" max="19" width="10.85546875" style="100" customWidth="1"/>
    <col min="20" max="20" width="14.85546875" style="100" customWidth="1"/>
    <col min="21" max="21" width="19.5703125" style="100" bestFit="1" customWidth="1"/>
    <col min="22" max="22" width="1.5703125" style="99" customWidth="1"/>
    <col min="23" max="24" width="11.42578125" style="160"/>
    <col min="25" max="41" width="11.42578125" style="167"/>
    <col min="42" max="42" width="11.42578125" style="160"/>
    <col min="43" max="46" width="11.42578125" style="161"/>
    <col min="47" max="16384" width="11.42578125" style="100"/>
  </cols>
  <sheetData>
    <row r="1" spans="1:46" ht="33.75" customHeight="1" x14ac:dyDescent="0.25">
      <c r="A1" s="98"/>
      <c r="B1" s="277" t="s">
        <v>110</v>
      </c>
      <c r="C1" s="277"/>
      <c r="D1" s="277"/>
      <c r="E1" s="277"/>
      <c r="F1" s="277"/>
      <c r="G1" s="277"/>
      <c r="H1" s="277"/>
      <c r="I1" s="277"/>
      <c r="J1" s="277"/>
      <c r="K1" s="277"/>
      <c r="L1" s="277"/>
      <c r="M1" s="277"/>
      <c r="N1" s="277"/>
      <c r="O1" s="277"/>
      <c r="P1" s="277"/>
      <c r="Q1" s="277"/>
      <c r="R1" s="277"/>
      <c r="S1" s="277"/>
      <c r="T1" s="277"/>
      <c r="U1" s="277"/>
      <c r="Z1" s="167">
        <v>26</v>
      </c>
      <c r="AA1" s="167" t="s">
        <v>51</v>
      </c>
      <c r="AB1" s="167" t="s">
        <v>52</v>
      </c>
      <c r="AC1" s="167" t="s">
        <v>48</v>
      </c>
      <c r="AD1" s="167" t="s">
        <v>54</v>
      </c>
      <c r="AE1" s="167" t="s">
        <v>62</v>
      </c>
      <c r="AI1" s="167">
        <v>26</v>
      </c>
      <c r="AJ1" s="167" t="s">
        <v>51</v>
      </c>
      <c r="AK1" s="167" t="s">
        <v>52</v>
      </c>
      <c r="AL1" s="167" t="s">
        <v>48</v>
      </c>
      <c r="AM1" s="167" t="s">
        <v>54</v>
      </c>
      <c r="AN1" s="167" t="s">
        <v>62</v>
      </c>
    </row>
    <row r="2" spans="1:46" s="99" customFormat="1" ht="16.5" customHeight="1" x14ac:dyDescent="0.25">
      <c r="B2" s="101"/>
      <c r="C2" s="101"/>
      <c r="D2" s="101"/>
      <c r="E2" s="101"/>
      <c r="F2" s="101"/>
      <c r="G2" s="101"/>
      <c r="H2" s="101"/>
      <c r="I2" s="101"/>
      <c r="J2" s="101"/>
      <c r="K2" s="101"/>
      <c r="L2" s="101"/>
      <c r="M2" s="101"/>
      <c r="N2" s="101"/>
      <c r="O2" s="101"/>
      <c r="P2" s="102"/>
      <c r="Q2" s="101"/>
      <c r="R2" s="101"/>
      <c r="S2" s="101"/>
      <c r="T2" s="101"/>
      <c r="U2" s="101"/>
      <c r="W2" s="160"/>
      <c r="X2" s="160"/>
      <c r="Y2" s="167">
        <v>23</v>
      </c>
      <c r="Z2" s="167" t="s">
        <v>47</v>
      </c>
      <c r="AA2" s="167">
        <v>24</v>
      </c>
      <c r="AB2" s="167">
        <v>24</v>
      </c>
      <c r="AC2" s="167">
        <v>24</v>
      </c>
      <c r="AD2" s="167">
        <v>23</v>
      </c>
      <c r="AE2" s="167">
        <v>25</v>
      </c>
      <c r="AF2" s="167"/>
      <c r="AG2" s="167"/>
      <c r="AH2" s="167">
        <v>23</v>
      </c>
      <c r="AI2" s="167" t="s">
        <v>47</v>
      </c>
      <c r="AJ2" s="167">
        <v>23</v>
      </c>
      <c r="AK2" s="167">
        <v>23</v>
      </c>
      <c r="AL2" s="167">
        <v>23</v>
      </c>
      <c r="AM2" s="167">
        <v>23</v>
      </c>
      <c r="AN2" s="167">
        <v>25</v>
      </c>
      <c r="AO2" s="167"/>
      <c r="AP2" s="160"/>
      <c r="AQ2" s="160"/>
      <c r="AR2" s="160"/>
      <c r="AS2" s="160"/>
      <c r="AT2" s="160"/>
    </row>
    <row r="3" spans="1:46" ht="16.5" customHeight="1" x14ac:dyDescent="0.25">
      <c r="B3" s="191" t="s">
        <v>95</v>
      </c>
      <c r="C3" s="191"/>
      <c r="D3" s="197" t="s">
        <v>247</v>
      </c>
      <c r="E3" s="198"/>
      <c r="F3" s="199"/>
      <c r="G3" s="103"/>
      <c r="H3" s="103"/>
      <c r="I3" s="191" t="s">
        <v>121</v>
      </c>
      <c r="J3" s="191"/>
      <c r="K3" s="104"/>
      <c r="L3" s="282" t="s">
        <v>178</v>
      </c>
      <c r="M3" s="282"/>
      <c r="N3" s="282"/>
      <c r="O3" s="103"/>
      <c r="P3" s="189"/>
      <c r="Q3" s="189"/>
      <c r="R3" s="282" t="s">
        <v>222</v>
      </c>
      <c r="S3" s="282"/>
      <c r="T3" s="282"/>
      <c r="U3" s="282"/>
      <c r="Y3" s="167">
        <v>29</v>
      </c>
      <c r="Z3" s="167" t="s">
        <v>49</v>
      </c>
      <c r="AA3" s="167">
        <v>30</v>
      </c>
      <c r="AB3" s="167">
        <v>30</v>
      </c>
      <c r="AC3" s="167">
        <v>30</v>
      </c>
      <c r="AD3" s="167">
        <v>29</v>
      </c>
      <c r="AE3" s="167">
        <v>31</v>
      </c>
      <c r="AF3" s="167">
        <v>1</v>
      </c>
      <c r="AH3" s="167">
        <v>29</v>
      </c>
      <c r="AI3" s="167" t="s">
        <v>49</v>
      </c>
      <c r="AJ3" s="167">
        <v>29</v>
      </c>
      <c r="AK3" s="167">
        <v>29</v>
      </c>
      <c r="AL3" s="167">
        <v>29</v>
      </c>
      <c r="AM3" s="167">
        <v>29</v>
      </c>
      <c r="AN3" s="167">
        <v>31</v>
      </c>
      <c r="AO3" s="167">
        <v>1</v>
      </c>
    </row>
    <row r="4" spans="1:46" ht="16.5" customHeight="1" x14ac:dyDescent="0.25">
      <c r="B4" s="63"/>
      <c r="C4" s="105"/>
      <c r="D4" s="188"/>
      <c r="E4" s="188"/>
      <c r="F4" s="188"/>
      <c r="G4" s="103"/>
      <c r="H4" s="103"/>
      <c r="I4" s="106"/>
      <c r="J4" s="106"/>
      <c r="K4" s="104"/>
      <c r="L4" s="210"/>
      <c r="M4" s="210"/>
      <c r="N4" s="210"/>
      <c r="O4" s="103"/>
      <c r="P4" s="103"/>
      <c r="Q4" s="103"/>
      <c r="R4" s="185"/>
      <c r="S4" s="185"/>
      <c r="T4" s="185"/>
      <c r="U4" s="185"/>
      <c r="Y4" s="167">
        <v>35</v>
      </c>
      <c r="Z4" s="167" t="s">
        <v>50</v>
      </c>
      <c r="AA4" s="167">
        <v>36</v>
      </c>
      <c r="AB4" s="167">
        <v>36</v>
      </c>
      <c r="AC4" s="167">
        <v>36</v>
      </c>
      <c r="AD4" s="167">
        <v>35</v>
      </c>
      <c r="AE4" s="167">
        <v>37</v>
      </c>
      <c r="AH4" s="167">
        <v>35</v>
      </c>
      <c r="AI4" s="167" t="s">
        <v>50</v>
      </c>
      <c r="AJ4" s="167">
        <v>35</v>
      </c>
      <c r="AK4" s="167">
        <v>35</v>
      </c>
      <c r="AL4" s="167">
        <v>35</v>
      </c>
      <c r="AM4" s="167">
        <v>35</v>
      </c>
      <c r="AN4" s="167">
        <v>37</v>
      </c>
    </row>
    <row r="5" spans="1:46" ht="16.5" customHeight="1" x14ac:dyDescent="0.25">
      <c r="B5" s="191" t="s">
        <v>96</v>
      </c>
      <c r="C5" s="191"/>
      <c r="D5" s="197" t="s">
        <v>248</v>
      </c>
      <c r="E5" s="198"/>
      <c r="F5" s="199"/>
      <c r="G5" s="103"/>
      <c r="H5" s="103"/>
      <c r="I5" s="192">
        <v>2450</v>
      </c>
      <c r="J5" s="193"/>
      <c r="K5" s="104"/>
      <c r="L5" s="192" t="s">
        <v>248</v>
      </c>
      <c r="M5" s="283"/>
      <c r="N5" s="193"/>
      <c r="O5" s="103"/>
      <c r="P5" s="186"/>
      <c r="Q5" s="186"/>
      <c r="R5" s="194" t="s">
        <v>218</v>
      </c>
      <c r="S5" s="195"/>
      <c r="T5" s="206" t="s">
        <v>250</v>
      </c>
      <c r="U5" s="207"/>
      <c r="Y5" s="167">
        <v>39</v>
      </c>
      <c r="Z5" s="167" t="s">
        <v>63</v>
      </c>
      <c r="AA5" s="167">
        <v>39</v>
      </c>
      <c r="AB5" s="167">
        <v>39</v>
      </c>
      <c r="AC5" s="167">
        <v>39</v>
      </c>
      <c r="AD5" s="167">
        <v>39</v>
      </c>
      <c r="AE5" s="167">
        <v>39</v>
      </c>
      <c r="AH5" s="167">
        <v>39</v>
      </c>
      <c r="AI5" s="167" t="s">
        <v>63</v>
      </c>
      <c r="AJ5" s="167">
        <v>39</v>
      </c>
      <c r="AK5" s="167">
        <v>39</v>
      </c>
      <c r="AL5" s="167">
        <v>39</v>
      </c>
      <c r="AM5" s="167">
        <v>39</v>
      </c>
      <c r="AN5" s="167">
        <v>39</v>
      </c>
    </row>
    <row r="6" spans="1:46" ht="16.5" customHeight="1" x14ac:dyDescent="0.25">
      <c r="B6" s="63"/>
      <c r="C6" s="105"/>
      <c r="D6" s="188"/>
      <c r="E6" s="188"/>
      <c r="F6" s="188"/>
      <c r="G6" s="103"/>
      <c r="H6" s="103"/>
      <c r="I6" s="106"/>
      <c r="J6" s="106"/>
      <c r="K6" s="104"/>
      <c r="L6" s="210"/>
      <c r="M6" s="210"/>
      <c r="N6" s="210"/>
      <c r="O6" s="103"/>
      <c r="P6" s="203"/>
      <c r="Q6" s="203"/>
      <c r="R6" s="187"/>
      <c r="S6" s="187"/>
      <c r="T6" s="187"/>
      <c r="U6" s="187"/>
      <c r="Y6" s="167">
        <v>46</v>
      </c>
      <c r="Z6" s="167" t="s">
        <v>64</v>
      </c>
      <c r="AA6" s="167">
        <v>47</v>
      </c>
      <c r="AB6" s="167">
        <v>47</v>
      </c>
      <c r="AC6" s="167">
        <v>47</v>
      </c>
      <c r="AD6" s="167">
        <v>46</v>
      </c>
      <c r="AE6" s="167">
        <v>48</v>
      </c>
      <c r="AH6" s="167">
        <v>46</v>
      </c>
      <c r="AI6" s="167" t="s">
        <v>64</v>
      </c>
      <c r="AJ6" s="167">
        <v>46</v>
      </c>
      <c r="AK6" s="167">
        <v>46</v>
      </c>
      <c r="AL6" s="167">
        <v>46</v>
      </c>
      <c r="AM6" s="167">
        <v>46</v>
      </c>
      <c r="AN6" s="167">
        <v>48</v>
      </c>
    </row>
    <row r="7" spans="1:46" ht="16.5" customHeight="1" x14ac:dyDescent="0.25">
      <c r="B7" s="191" t="s">
        <v>97</v>
      </c>
      <c r="C7" s="191"/>
      <c r="D7" s="200" t="s">
        <v>245</v>
      </c>
      <c r="E7" s="201"/>
      <c r="F7" s="202"/>
      <c r="G7" s="103"/>
      <c r="H7" s="103"/>
      <c r="I7" s="106"/>
      <c r="J7" s="106"/>
      <c r="K7" s="104"/>
      <c r="L7" s="194" t="s">
        <v>177</v>
      </c>
      <c r="M7" s="278"/>
      <c r="N7" s="195"/>
      <c r="O7" s="103"/>
      <c r="P7" s="203"/>
      <c r="Q7" s="203"/>
      <c r="R7" s="194" t="s">
        <v>219</v>
      </c>
      <c r="S7" s="195"/>
      <c r="T7" s="208" t="s">
        <v>251</v>
      </c>
      <c r="U7" s="209"/>
      <c r="Y7" s="167">
        <v>52</v>
      </c>
      <c r="Z7" s="167" t="s">
        <v>65</v>
      </c>
      <c r="AA7" s="167">
        <v>53</v>
      </c>
      <c r="AB7" s="167">
        <v>53</v>
      </c>
      <c r="AC7" s="167">
        <v>53</v>
      </c>
      <c r="AD7" s="167">
        <v>52</v>
      </c>
      <c r="AE7" s="167">
        <v>54</v>
      </c>
      <c r="AH7" s="167">
        <v>52</v>
      </c>
      <c r="AI7" s="167" t="s">
        <v>65</v>
      </c>
      <c r="AJ7" s="167">
        <v>52</v>
      </c>
      <c r="AK7" s="167">
        <v>52</v>
      </c>
      <c r="AL7" s="167">
        <v>52</v>
      </c>
      <c r="AM7" s="167">
        <v>52</v>
      </c>
      <c r="AN7" s="167">
        <v>54</v>
      </c>
    </row>
    <row r="8" spans="1:46" ht="16.5" customHeight="1" x14ac:dyDescent="0.25">
      <c r="B8" s="105"/>
      <c r="C8" s="105"/>
      <c r="D8" s="188"/>
      <c r="E8" s="188"/>
      <c r="F8" s="188"/>
      <c r="G8" s="103"/>
      <c r="H8" s="103"/>
      <c r="I8" s="106"/>
      <c r="J8" s="106"/>
      <c r="K8" s="104"/>
      <c r="L8" s="210"/>
      <c r="M8" s="210"/>
      <c r="N8" s="210"/>
      <c r="O8" s="103"/>
      <c r="P8" s="203"/>
      <c r="Q8" s="203"/>
      <c r="R8" s="187"/>
      <c r="S8" s="187"/>
      <c r="T8" s="187"/>
      <c r="U8" s="187"/>
      <c r="Y8" s="167">
        <v>58</v>
      </c>
      <c r="Z8" s="167" t="s">
        <v>66</v>
      </c>
      <c r="AA8" s="167">
        <v>59</v>
      </c>
      <c r="AB8" s="167">
        <v>59</v>
      </c>
      <c r="AC8" s="167">
        <v>59</v>
      </c>
      <c r="AD8" s="167">
        <v>58</v>
      </c>
      <c r="AE8" s="167">
        <v>60</v>
      </c>
      <c r="AH8" s="167">
        <v>58</v>
      </c>
      <c r="AI8" s="167" t="s">
        <v>66</v>
      </c>
      <c r="AJ8" s="167">
        <v>58</v>
      </c>
      <c r="AK8" s="167">
        <v>58</v>
      </c>
      <c r="AL8" s="167">
        <v>58</v>
      </c>
      <c r="AM8" s="167">
        <v>58</v>
      </c>
      <c r="AN8" s="167">
        <v>60</v>
      </c>
    </row>
    <row r="9" spans="1:46" ht="16.5" customHeight="1" x14ac:dyDescent="0.25">
      <c r="B9" s="191" t="s">
        <v>98</v>
      </c>
      <c r="C9" s="191"/>
      <c r="D9" s="200" t="s">
        <v>101</v>
      </c>
      <c r="E9" s="201"/>
      <c r="F9" s="202"/>
      <c r="G9" s="103"/>
      <c r="H9" s="103"/>
      <c r="I9" s="191" t="s">
        <v>112</v>
      </c>
      <c r="J9" s="191"/>
      <c r="K9" s="104"/>
      <c r="L9" s="194" t="s">
        <v>106</v>
      </c>
      <c r="M9" s="195"/>
      <c r="N9" s="155">
        <v>0.12089999999999999</v>
      </c>
      <c r="O9" s="103"/>
      <c r="P9" s="186"/>
      <c r="Q9" s="186"/>
      <c r="R9" s="194" t="s">
        <v>220</v>
      </c>
      <c r="S9" s="195"/>
      <c r="T9" s="204">
        <v>123456789</v>
      </c>
      <c r="U9" s="205"/>
      <c r="Y9" s="167">
        <v>64</v>
      </c>
      <c r="Z9" s="167" t="s">
        <v>67</v>
      </c>
      <c r="AA9" s="167">
        <v>65</v>
      </c>
      <c r="AB9" s="167">
        <v>65</v>
      </c>
      <c r="AC9" s="167">
        <v>65</v>
      </c>
      <c r="AD9" s="167">
        <v>64</v>
      </c>
      <c r="AE9" s="167">
        <v>66</v>
      </c>
      <c r="AH9" s="167">
        <v>64</v>
      </c>
      <c r="AI9" s="167" t="s">
        <v>67</v>
      </c>
      <c r="AJ9" s="167">
        <v>64</v>
      </c>
      <c r="AK9" s="167">
        <v>64</v>
      </c>
      <c r="AL9" s="167">
        <v>64</v>
      </c>
      <c r="AM9" s="167">
        <v>64</v>
      </c>
      <c r="AN9" s="167">
        <v>66</v>
      </c>
    </row>
    <row r="10" spans="1:46" ht="16.5" customHeight="1" x14ac:dyDescent="0.25">
      <c r="B10" s="105"/>
      <c r="C10" s="105"/>
      <c r="D10" s="188"/>
      <c r="E10" s="188"/>
      <c r="F10" s="188"/>
      <c r="G10" s="103"/>
      <c r="H10" s="103"/>
      <c r="I10" s="104"/>
      <c r="J10" s="108"/>
      <c r="K10" s="104"/>
      <c r="L10" s="210"/>
      <c r="M10" s="210"/>
      <c r="N10" s="210"/>
      <c r="O10" s="103"/>
      <c r="P10" s="107"/>
      <c r="Q10" s="107"/>
      <c r="R10" s="187"/>
      <c r="S10" s="187"/>
      <c r="T10" s="187"/>
      <c r="U10" s="187"/>
      <c r="Y10" s="167">
        <v>68</v>
      </c>
      <c r="Z10" s="167" t="s">
        <v>123</v>
      </c>
      <c r="AA10" s="167">
        <v>68</v>
      </c>
      <c r="AB10" s="167">
        <v>68</v>
      </c>
      <c r="AC10" s="167">
        <v>68</v>
      </c>
      <c r="AD10" s="167">
        <v>68</v>
      </c>
      <c r="AE10" s="167">
        <v>68</v>
      </c>
      <c r="AH10" s="167">
        <v>68</v>
      </c>
      <c r="AI10" s="167" t="s">
        <v>123</v>
      </c>
      <c r="AJ10" s="167">
        <v>68</v>
      </c>
      <c r="AK10" s="167">
        <v>68</v>
      </c>
      <c r="AL10" s="167">
        <v>68</v>
      </c>
      <c r="AM10" s="167">
        <v>68</v>
      </c>
      <c r="AN10" s="167">
        <v>68</v>
      </c>
    </row>
    <row r="11" spans="1:46" ht="16.5" customHeight="1" x14ac:dyDescent="0.25">
      <c r="B11" s="281" t="s">
        <v>103</v>
      </c>
      <c r="C11" s="281"/>
      <c r="D11" s="200" t="s">
        <v>249</v>
      </c>
      <c r="E11" s="201"/>
      <c r="F11" s="202"/>
      <c r="G11" s="103"/>
      <c r="H11" s="103"/>
      <c r="I11" s="104"/>
      <c r="J11" s="104"/>
      <c r="K11" s="104"/>
      <c r="L11" s="194" t="s">
        <v>104</v>
      </c>
      <c r="M11" s="195"/>
      <c r="N11" s="169">
        <v>17.5</v>
      </c>
      <c r="O11" s="103"/>
      <c r="P11" s="107"/>
      <c r="Q11" s="107"/>
      <c r="R11" s="194" t="s">
        <v>223</v>
      </c>
      <c r="S11" s="195"/>
      <c r="T11" s="206" t="s">
        <v>252</v>
      </c>
      <c r="U11" s="207"/>
      <c r="Y11" s="167">
        <v>69</v>
      </c>
      <c r="Z11" s="167" t="s">
        <v>124</v>
      </c>
      <c r="AA11" s="167">
        <v>69</v>
      </c>
      <c r="AB11" s="167">
        <v>69</v>
      </c>
      <c r="AC11" s="167">
        <v>69</v>
      </c>
      <c r="AD11" s="167">
        <v>69</v>
      </c>
      <c r="AE11" s="167">
        <v>69</v>
      </c>
      <c r="AH11" s="167">
        <v>69</v>
      </c>
      <c r="AI11" s="167" t="s">
        <v>124</v>
      </c>
      <c r="AJ11" s="167">
        <v>69</v>
      </c>
      <c r="AK11" s="167">
        <v>69</v>
      </c>
      <c r="AL11" s="167">
        <v>69</v>
      </c>
      <c r="AM11" s="167">
        <v>69</v>
      </c>
      <c r="AN11" s="167">
        <v>69</v>
      </c>
    </row>
    <row r="12" spans="1:46" ht="16.5" customHeight="1" x14ac:dyDescent="0.25">
      <c r="B12" s="105"/>
      <c r="C12" s="105"/>
      <c r="D12" s="188"/>
      <c r="E12" s="188"/>
      <c r="F12" s="188"/>
      <c r="G12" s="103"/>
      <c r="H12" s="103"/>
      <c r="I12" s="104"/>
      <c r="J12" s="104"/>
      <c r="K12" s="104"/>
      <c r="L12" s="210"/>
      <c r="M12" s="210"/>
      <c r="N12" s="210"/>
      <c r="O12" s="99"/>
      <c r="P12" s="107"/>
      <c r="Q12" s="107"/>
      <c r="R12" s="186"/>
      <c r="S12" s="186"/>
      <c r="T12" s="186"/>
      <c r="U12" s="186"/>
      <c r="Y12" s="167">
        <v>71</v>
      </c>
      <c r="Z12" s="167" t="s">
        <v>63</v>
      </c>
      <c r="AA12" s="167">
        <v>71</v>
      </c>
      <c r="AB12" s="167">
        <v>71</v>
      </c>
      <c r="AC12" s="167">
        <v>71</v>
      </c>
      <c r="AD12" s="167">
        <v>71</v>
      </c>
      <c r="AE12" s="167">
        <v>71</v>
      </c>
      <c r="AH12" s="167">
        <v>71</v>
      </c>
      <c r="AI12" s="167" t="s">
        <v>63</v>
      </c>
      <c r="AJ12" s="167">
        <v>71</v>
      </c>
      <c r="AK12" s="167">
        <v>71</v>
      </c>
      <c r="AL12" s="167">
        <v>71</v>
      </c>
      <c r="AM12" s="167">
        <v>71</v>
      </c>
      <c r="AN12" s="167">
        <v>71</v>
      </c>
    </row>
    <row r="13" spans="1:46" ht="16.5" customHeight="1" x14ac:dyDescent="0.25">
      <c r="B13" s="280" t="s">
        <v>107</v>
      </c>
      <c r="C13" s="280"/>
      <c r="D13" s="200" t="s">
        <v>163</v>
      </c>
      <c r="E13" s="201"/>
      <c r="F13" s="202"/>
      <c r="G13" s="103"/>
      <c r="H13" s="103"/>
      <c r="I13" s="104"/>
      <c r="J13" s="104"/>
      <c r="K13" s="104"/>
      <c r="L13" s="194" t="s">
        <v>171</v>
      </c>
      <c r="M13" s="195"/>
      <c r="N13" s="159">
        <v>900</v>
      </c>
      <c r="O13" s="103"/>
      <c r="P13" s="107"/>
      <c r="Q13" s="107"/>
      <c r="R13" s="103"/>
      <c r="S13" s="196" t="s">
        <v>221</v>
      </c>
      <c r="T13" s="196"/>
      <c r="U13" s="103"/>
    </row>
    <row r="14" spans="1:46" ht="16.5" customHeight="1" x14ac:dyDescent="0.25">
      <c r="B14" s="105"/>
      <c r="C14" s="105"/>
      <c r="D14" s="188"/>
      <c r="E14" s="188"/>
      <c r="F14" s="188"/>
      <c r="G14" s="103"/>
      <c r="H14" s="103"/>
      <c r="I14" s="104"/>
      <c r="J14" s="104"/>
      <c r="K14" s="104"/>
      <c r="L14" s="99"/>
      <c r="M14" s="99"/>
      <c r="N14" s="99"/>
      <c r="O14" s="103"/>
      <c r="P14" s="107"/>
      <c r="Q14" s="107"/>
      <c r="R14" s="107"/>
      <c r="S14" s="103"/>
      <c r="T14" s="103"/>
      <c r="U14" s="103"/>
    </row>
    <row r="15" spans="1:46" ht="16.5" customHeight="1" x14ac:dyDescent="0.25">
      <c r="B15" s="279" t="s">
        <v>108</v>
      </c>
      <c r="C15" s="279"/>
      <c r="D15" s="200" t="s">
        <v>68</v>
      </c>
      <c r="E15" s="201"/>
      <c r="F15" s="202"/>
      <c r="G15" s="103"/>
      <c r="H15" s="103"/>
      <c r="I15" s="104"/>
      <c r="J15" s="104"/>
      <c r="K15" s="104"/>
      <c r="L15" s="99"/>
      <c r="M15" s="99"/>
      <c r="N15" s="99"/>
      <c r="O15" s="103"/>
      <c r="P15" s="103"/>
      <c r="Q15" s="107"/>
      <c r="R15" s="107"/>
      <c r="S15" s="196" t="s">
        <v>122</v>
      </c>
      <c r="T15" s="196"/>
      <c r="U15" s="103"/>
    </row>
    <row r="16" spans="1:46" s="99" customFormat="1" ht="6" customHeight="1" x14ac:dyDescent="0.25">
      <c r="B16" s="105"/>
      <c r="C16" s="105"/>
      <c r="D16" s="103"/>
      <c r="E16" s="103"/>
      <c r="F16" s="103"/>
      <c r="G16" s="103"/>
      <c r="H16" s="103"/>
      <c r="I16" s="103"/>
      <c r="J16" s="103"/>
      <c r="K16" s="103"/>
      <c r="O16" s="103"/>
      <c r="P16" s="107"/>
      <c r="Q16" s="107"/>
      <c r="R16" s="107"/>
      <c r="S16" s="103"/>
      <c r="T16" s="103"/>
      <c r="U16" s="103"/>
      <c r="W16" s="160"/>
      <c r="X16" s="160"/>
      <c r="Y16" s="167"/>
      <c r="Z16" s="167"/>
      <c r="AA16" s="167"/>
      <c r="AB16" s="167"/>
      <c r="AC16" s="167"/>
      <c r="AD16" s="167"/>
      <c r="AE16" s="167"/>
      <c r="AF16" s="167"/>
      <c r="AG16" s="167"/>
      <c r="AH16" s="167"/>
      <c r="AI16" s="167"/>
      <c r="AJ16" s="167"/>
      <c r="AK16" s="167"/>
      <c r="AL16" s="167"/>
      <c r="AM16" s="167"/>
      <c r="AN16" s="167"/>
      <c r="AO16" s="167"/>
      <c r="AP16" s="160"/>
      <c r="AQ16" s="160"/>
      <c r="AR16" s="160"/>
      <c r="AS16" s="160"/>
      <c r="AT16" s="160"/>
    </row>
    <row r="17" spans="2:46" s="99" customFormat="1" ht="6" customHeight="1" x14ac:dyDescent="0.25">
      <c r="B17" s="105"/>
      <c r="C17" s="105"/>
      <c r="D17" s="103"/>
      <c r="E17" s="103"/>
      <c r="F17" s="103"/>
      <c r="G17" s="103"/>
      <c r="H17" s="103"/>
      <c r="I17" s="103"/>
      <c r="J17" s="103"/>
      <c r="K17" s="103"/>
      <c r="L17" s="104"/>
      <c r="M17" s="104"/>
      <c r="N17" s="104"/>
      <c r="O17" s="103"/>
      <c r="P17" s="107"/>
      <c r="Q17" s="107"/>
      <c r="R17" s="107"/>
      <c r="S17" s="103"/>
      <c r="T17" s="103"/>
      <c r="U17" s="103"/>
      <c r="W17" s="160"/>
      <c r="X17" s="160"/>
      <c r="Y17" s="167"/>
      <c r="Z17" s="167"/>
      <c r="AA17" s="167"/>
      <c r="AB17" s="167"/>
      <c r="AC17" s="167"/>
      <c r="AD17" s="167"/>
      <c r="AE17" s="167"/>
      <c r="AF17" s="167"/>
      <c r="AG17" s="167"/>
      <c r="AH17" s="167"/>
      <c r="AI17" s="167"/>
      <c r="AJ17" s="167"/>
      <c r="AK17" s="167"/>
      <c r="AL17" s="167"/>
      <c r="AM17" s="167"/>
      <c r="AN17" s="167"/>
      <c r="AO17" s="167"/>
      <c r="AP17" s="160"/>
      <c r="AQ17" s="160"/>
      <c r="AR17" s="160"/>
      <c r="AS17" s="160"/>
      <c r="AT17" s="160"/>
    </row>
    <row r="18" spans="2:46" s="99" customFormat="1" ht="6" customHeight="1" x14ac:dyDescent="0.25">
      <c r="B18" s="105"/>
      <c r="C18" s="105"/>
      <c r="D18" s="103"/>
      <c r="E18" s="103"/>
      <c r="F18" s="103"/>
      <c r="G18" s="103"/>
      <c r="H18" s="103"/>
      <c r="I18" s="103"/>
      <c r="J18" s="103"/>
      <c r="K18" s="103"/>
      <c r="L18" s="103"/>
      <c r="M18" s="103"/>
      <c r="N18" s="103"/>
      <c r="O18" s="103"/>
      <c r="P18" s="107"/>
      <c r="Q18" s="107"/>
      <c r="R18" s="107"/>
      <c r="S18" s="103"/>
      <c r="T18" s="103"/>
      <c r="U18" s="103"/>
      <c r="W18" s="160"/>
      <c r="X18" s="160"/>
      <c r="Y18" s="167"/>
      <c r="Z18" s="167"/>
      <c r="AA18" s="167"/>
      <c r="AB18" s="167"/>
      <c r="AC18" s="167"/>
      <c r="AD18" s="167"/>
      <c r="AE18" s="167"/>
      <c r="AF18" s="167"/>
      <c r="AG18" s="167"/>
      <c r="AH18" s="167"/>
      <c r="AI18" s="167"/>
      <c r="AJ18" s="167"/>
      <c r="AK18" s="167"/>
      <c r="AL18" s="167"/>
      <c r="AM18" s="167"/>
      <c r="AN18" s="167"/>
      <c r="AO18" s="167"/>
      <c r="AP18" s="160"/>
      <c r="AQ18" s="160"/>
      <c r="AR18" s="160"/>
      <c r="AS18" s="160"/>
      <c r="AT18" s="160"/>
    </row>
    <row r="19" spans="2:46" ht="30" customHeight="1" x14ac:dyDescent="0.25">
      <c r="B19" s="176" t="s">
        <v>8</v>
      </c>
      <c r="C19" s="176"/>
      <c r="D19" s="176"/>
      <c r="E19" s="176"/>
      <c r="F19" s="176"/>
      <c r="G19" s="176"/>
      <c r="H19" s="176"/>
      <c r="I19" s="176"/>
      <c r="J19" s="176"/>
      <c r="K19" s="176"/>
      <c r="L19" s="176"/>
      <c r="M19" s="176"/>
      <c r="N19" s="176"/>
      <c r="O19" s="176"/>
      <c r="P19" s="176"/>
      <c r="Q19" s="176"/>
      <c r="R19" s="176"/>
      <c r="S19" s="176"/>
      <c r="T19" s="176"/>
      <c r="U19" s="176"/>
    </row>
    <row r="20" spans="2:46" s="99" customFormat="1" ht="11.25" customHeight="1" x14ac:dyDescent="0.25">
      <c r="B20" s="9"/>
      <c r="C20" s="9"/>
      <c r="D20" s="9"/>
      <c r="E20" s="9"/>
      <c r="F20" s="9"/>
      <c r="G20" s="9"/>
      <c r="H20" s="10"/>
      <c r="I20" s="10"/>
      <c r="J20" s="9"/>
      <c r="K20" s="9"/>
      <c r="L20" s="9"/>
      <c r="M20" s="9"/>
      <c r="N20" s="9"/>
      <c r="O20" s="10"/>
      <c r="P20" s="9"/>
      <c r="Q20" s="9"/>
      <c r="R20" s="9"/>
      <c r="S20" s="9"/>
      <c r="T20" s="9"/>
      <c r="U20" s="9"/>
      <c r="W20" s="160"/>
      <c r="X20" s="160"/>
      <c r="Y20" s="167"/>
      <c r="Z20" s="167"/>
      <c r="AA20" s="167"/>
      <c r="AB20" s="167"/>
      <c r="AC20" s="167"/>
      <c r="AD20" s="167"/>
      <c r="AE20" s="167"/>
      <c r="AF20" s="167"/>
      <c r="AG20" s="167"/>
      <c r="AH20" s="167"/>
      <c r="AI20" s="167"/>
      <c r="AJ20" s="167"/>
      <c r="AK20" s="167"/>
      <c r="AL20" s="167"/>
      <c r="AM20" s="167"/>
      <c r="AN20" s="167"/>
      <c r="AO20" s="167"/>
      <c r="AP20" s="160"/>
      <c r="AQ20" s="160"/>
      <c r="AR20" s="160"/>
      <c r="AS20" s="160"/>
      <c r="AT20" s="160"/>
    </row>
    <row r="21" spans="2:46" x14ac:dyDescent="0.25">
      <c r="B21" s="177" t="s">
        <v>13</v>
      </c>
      <c r="C21" s="179" t="str">
        <f>CONCATENATE("ALTERNATIVA 1: ",$D$11)</f>
        <v>ALTERNATIVA 1: SODIO</v>
      </c>
      <c r="D21" s="179"/>
      <c r="E21" s="179"/>
      <c r="F21" s="179"/>
      <c r="G21" s="179"/>
      <c r="H21" s="15"/>
      <c r="I21" s="190" t="s">
        <v>13</v>
      </c>
      <c r="J21" s="180" t="str">
        <f>CONCATENATE("ALTERNATIVA 2: ",$D$13)</f>
        <v>ALTERNATIVA 2: CMH</v>
      </c>
      <c r="K21" s="180"/>
      <c r="L21" s="180"/>
      <c r="M21" s="180"/>
      <c r="N21" s="180"/>
      <c r="O21" s="15"/>
      <c r="P21" s="181" t="s">
        <v>13</v>
      </c>
      <c r="Q21" s="183" t="str">
        <f>CONCATENATE("ALTERNATIVA 3: ",$D$15)</f>
        <v>ALTERNATIVA 3: LED</v>
      </c>
      <c r="R21" s="184"/>
      <c r="S21" s="184"/>
      <c r="T21" s="184"/>
      <c r="U21" s="181"/>
    </row>
    <row r="22" spans="2:46" ht="21" x14ac:dyDescent="0.25">
      <c r="B22" s="178"/>
      <c r="C22" s="16" t="s">
        <v>72</v>
      </c>
      <c r="D22" s="16" t="s">
        <v>14</v>
      </c>
      <c r="E22" s="16" t="s">
        <v>9</v>
      </c>
      <c r="F22" s="16" t="s">
        <v>10</v>
      </c>
      <c r="G22" s="17" t="s">
        <v>11</v>
      </c>
      <c r="H22" s="109"/>
      <c r="I22" s="190"/>
      <c r="J22" s="19" t="s">
        <v>72</v>
      </c>
      <c r="K22" s="19" t="s">
        <v>14</v>
      </c>
      <c r="L22" s="19" t="s">
        <v>9</v>
      </c>
      <c r="M22" s="19" t="s">
        <v>10</v>
      </c>
      <c r="N22" s="20" t="s">
        <v>11</v>
      </c>
      <c r="O22" s="21"/>
      <c r="P22" s="182"/>
      <c r="Q22" s="22" t="s">
        <v>72</v>
      </c>
      <c r="R22" s="22" t="s">
        <v>14</v>
      </c>
      <c r="S22" s="22" t="s">
        <v>9</v>
      </c>
      <c r="T22" s="22" t="s">
        <v>10</v>
      </c>
      <c r="U22" s="23" t="s">
        <v>11</v>
      </c>
    </row>
    <row r="23" spans="2:46" x14ac:dyDescent="0.25">
      <c r="B23" s="110" t="s">
        <v>127</v>
      </c>
      <c r="C23" s="111">
        <v>78.05</v>
      </c>
      <c r="D23" s="112">
        <v>7.5</v>
      </c>
      <c r="E23" s="111">
        <v>10</v>
      </c>
      <c r="F23" s="113">
        <v>811799</v>
      </c>
      <c r="G23" s="113">
        <f>$F$23*$E$23</f>
        <v>8117990</v>
      </c>
      <c r="H23" s="109"/>
      <c r="I23" s="110" t="s">
        <v>131</v>
      </c>
      <c r="J23" s="111">
        <v>78.05</v>
      </c>
      <c r="K23" s="112">
        <v>7.5</v>
      </c>
      <c r="L23" s="111">
        <v>10</v>
      </c>
      <c r="M23" s="113">
        <v>781135</v>
      </c>
      <c r="N23" s="113">
        <f>$M$23*$L$23</f>
        <v>7811350</v>
      </c>
      <c r="O23" s="21"/>
      <c r="P23" s="110" t="s">
        <v>135</v>
      </c>
      <c r="Q23" s="111">
        <v>41.3</v>
      </c>
      <c r="R23" s="111">
        <v>17.5</v>
      </c>
      <c r="S23" s="111">
        <v>10</v>
      </c>
      <c r="T23" s="113">
        <v>1219123</v>
      </c>
      <c r="U23" s="113">
        <f>$T$23*$S$23</f>
        <v>12191230</v>
      </c>
      <c r="AA23" s="167">
        <v>1</v>
      </c>
      <c r="AB23" s="167">
        <v>5</v>
      </c>
      <c r="AC23" s="167">
        <v>9</v>
      </c>
    </row>
    <row r="24" spans="2:46" x14ac:dyDescent="0.25">
      <c r="B24" s="110"/>
      <c r="C24" s="111"/>
      <c r="D24" s="112"/>
      <c r="E24" s="111"/>
      <c r="F24" s="113"/>
      <c r="G24" s="113"/>
      <c r="H24" s="109"/>
      <c r="I24" s="110"/>
      <c r="J24" s="111"/>
      <c r="K24" s="112"/>
      <c r="L24" s="111"/>
      <c r="M24" s="113"/>
      <c r="N24" s="113"/>
      <c r="O24" s="21"/>
      <c r="P24" s="110"/>
      <c r="Q24" s="111"/>
      <c r="R24" s="111"/>
      <c r="S24" s="111"/>
      <c r="T24" s="113"/>
      <c r="U24" s="113"/>
    </row>
    <row r="25" spans="2:46" ht="16.5" customHeight="1" x14ac:dyDescent="0.25">
      <c r="B25" s="249" t="s">
        <v>126</v>
      </c>
      <c r="C25" s="250"/>
      <c r="D25" s="250"/>
      <c r="E25" s="250"/>
      <c r="F25" s="250"/>
      <c r="G25" s="114">
        <f>SUM($G$23:$G$24)</f>
        <v>8117990</v>
      </c>
      <c r="H25" s="115"/>
      <c r="I25" s="242" t="s">
        <v>126</v>
      </c>
      <c r="J25" s="243"/>
      <c r="K25" s="243"/>
      <c r="L25" s="243"/>
      <c r="M25" s="243"/>
      <c r="N25" s="116">
        <f>SUM($N$23:$N$24)</f>
        <v>7811350</v>
      </c>
      <c r="O25" s="115"/>
      <c r="P25" s="217" t="s">
        <v>126</v>
      </c>
      <c r="Q25" s="218"/>
      <c r="R25" s="218"/>
      <c r="S25" s="218"/>
      <c r="T25" s="218"/>
      <c r="U25" s="117">
        <f>SUM($U$23:$U$24)</f>
        <v>12191230</v>
      </c>
    </row>
    <row r="26" spans="2:46" ht="9" customHeight="1" x14ac:dyDescent="0.25">
      <c r="B26" s="104"/>
      <c r="C26" s="32"/>
      <c r="D26" s="32"/>
      <c r="E26" s="32"/>
      <c r="F26" s="118"/>
      <c r="G26" s="118"/>
      <c r="H26" s="104"/>
      <c r="I26" s="63"/>
      <c r="J26" s="104"/>
      <c r="K26" s="104"/>
      <c r="L26" s="104"/>
      <c r="M26" s="104"/>
      <c r="N26" s="104"/>
      <c r="O26" s="104"/>
      <c r="P26" s="104"/>
      <c r="Q26" s="104"/>
      <c r="R26" s="104"/>
      <c r="S26" s="104"/>
      <c r="T26" s="104"/>
      <c r="U26" s="104"/>
    </row>
    <row r="27" spans="2:46" x14ac:dyDescent="0.25">
      <c r="B27" s="239" t="s">
        <v>15</v>
      </c>
      <c r="C27" s="241" t="str">
        <f>CONCATENATE("ALTERNATIVA 1: ",$D$11)</f>
        <v>ALTERNATIVA 1: SODIO</v>
      </c>
      <c r="D27" s="241"/>
      <c r="E27" s="241"/>
      <c r="F27" s="241"/>
      <c r="G27" s="241"/>
      <c r="H27" s="35"/>
      <c r="I27" s="248" t="s">
        <v>15</v>
      </c>
      <c r="J27" s="244" t="str">
        <f>CONCATENATE("ALTERNATIVA 2: ",$D$13)</f>
        <v>ALTERNATIVA 2: CMH</v>
      </c>
      <c r="K27" s="244"/>
      <c r="L27" s="244"/>
      <c r="M27" s="244"/>
      <c r="N27" s="245"/>
      <c r="O27" s="35"/>
      <c r="P27" s="246" t="s">
        <v>15</v>
      </c>
      <c r="Q27" s="236" t="str">
        <f>CONCATENATE("ALTERNATIVA 3: ",$D$15)</f>
        <v>ALTERNATIVA 3: LED</v>
      </c>
      <c r="R27" s="237"/>
      <c r="S27" s="237"/>
      <c r="T27" s="237"/>
      <c r="U27" s="238"/>
    </row>
    <row r="28" spans="2:46" ht="21" x14ac:dyDescent="0.25">
      <c r="B28" s="240"/>
      <c r="C28" s="36" t="s">
        <v>30</v>
      </c>
      <c r="D28" s="36" t="s">
        <v>14</v>
      </c>
      <c r="E28" s="36" t="s">
        <v>9</v>
      </c>
      <c r="F28" s="36" t="s">
        <v>10</v>
      </c>
      <c r="G28" s="37" t="s">
        <v>11</v>
      </c>
      <c r="H28" s="109"/>
      <c r="I28" s="248"/>
      <c r="J28" s="38" t="s">
        <v>30</v>
      </c>
      <c r="K28" s="39" t="s">
        <v>14</v>
      </c>
      <c r="L28" s="39" t="s">
        <v>9</v>
      </c>
      <c r="M28" s="39" t="s">
        <v>10</v>
      </c>
      <c r="N28" s="40" t="s">
        <v>11</v>
      </c>
      <c r="O28" s="21"/>
      <c r="P28" s="247"/>
      <c r="Q28" s="41" t="s">
        <v>30</v>
      </c>
      <c r="R28" s="41" t="s">
        <v>14</v>
      </c>
      <c r="S28" s="41" t="s">
        <v>9</v>
      </c>
      <c r="T28" s="41" t="s">
        <v>10</v>
      </c>
      <c r="U28" s="42" t="s">
        <v>11</v>
      </c>
    </row>
    <row r="29" spans="2:46" x14ac:dyDescent="0.25">
      <c r="B29" s="110" t="s">
        <v>142</v>
      </c>
      <c r="C29" s="111" t="s">
        <v>37</v>
      </c>
      <c r="D29" s="112">
        <v>30</v>
      </c>
      <c r="E29" s="111">
        <v>10</v>
      </c>
      <c r="F29" s="113">
        <v>486390</v>
      </c>
      <c r="G29" s="113">
        <f>$F$29*$E$29</f>
        <v>4863900</v>
      </c>
      <c r="H29" s="109"/>
      <c r="I29" s="110" t="s">
        <v>142</v>
      </c>
      <c r="J29" s="111" t="s">
        <v>37</v>
      </c>
      <c r="K29" s="112">
        <v>30</v>
      </c>
      <c r="L29" s="111">
        <v>10</v>
      </c>
      <c r="M29" s="113">
        <v>486390</v>
      </c>
      <c r="N29" s="113">
        <f>$M$29*$L$29</f>
        <v>4863900</v>
      </c>
      <c r="O29" s="21"/>
      <c r="P29" s="110" t="s">
        <v>142</v>
      </c>
      <c r="Q29" s="111" t="s">
        <v>37</v>
      </c>
      <c r="R29" s="112">
        <v>30</v>
      </c>
      <c r="S29" s="111">
        <v>10</v>
      </c>
      <c r="T29" s="113">
        <v>486390</v>
      </c>
      <c r="U29" s="113">
        <f>$T$29*$S$29</f>
        <v>4863900</v>
      </c>
      <c r="AA29" s="167">
        <v>1</v>
      </c>
      <c r="AB29" s="167">
        <v>1</v>
      </c>
      <c r="AC29" s="167">
        <v>1</v>
      </c>
    </row>
    <row r="30" spans="2:46" x14ac:dyDescent="0.25">
      <c r="B30" s="110"/>
      <c r="C30" s="111"/>
      <c r="D30" s="112"/>
      <c r="E30" s="111"/>
      <c r="F30" s="113"/>
      <c r="G30" s="113"/>
      <c r="H30" s="109"/>
      <c r="I30" s="110"/>
      <c r="J30" s="111"/>
      <c r="K30" s="112"/>
      <c r="L30" s="111"/>
      <c r="M30" s="113"/>
      <c r="N30" s="113"/>
      <c r="O30" s="21"/>
      <c r="P30" s="110"/>
      <c r="Q30" s="111"/>
      <c r="R30" s="112"/>
      <c r="S30" s="111"/>
      <c r="T30" s="113"/>
      <c r="U30" s="113"/>
    </row>
    <row r="31" spans="2:46" x14ac:dyDescent="0.25">
      <c r="B31" s="230" t="s">
        <v>126</v>
      </c>
      <c r="C31" s="231"/>
      <c r="D31" s="231"/>
      <c r="E31" s="231"/>
      <c r="F31" s="231"/>
      <c r="G31" s="119">
        <f>SUM($G$29:$G$30)</f>
        <v>4863900</v>
      </c>
      <c r="H31" s="115"/>
      <c r="I31" s="232" t="s">
        <v>126</v>
      </c>
      <c r="J31" s="233"/>
      <c r="K31" s="233"/>
      <c r="L31" s="233"/>
      <c r="M31" s="233"/>
      <c r="N31" s="120">
        <f>SUM($N$29:$N$30)</f>
        <v>4863900</v>
      </c>
      <c r="O31" s="115"/>
      <c r="P31" s="234" t="s">
        <v>126</v>
      </c>
      <c r="Q31" s="235"/>
      <c r="R31" s="235"/>
      <c r="S31" s="235"/>
      <c r="T31" s="235"/>
      <c r="U31" s="121">
        <f>SUM($U$29:$U$30)</f>
        <v>4863900</v>
      </c>
    </row>
    <row r="32" spans="2:46" ht="9" customHeight="1" x14ac:dyDescent="0.25">
      <c r="B32" s="104"/>
      <c r="C32" s="32"/>
      <c r="D32" s="32"/>
      <c r="E32" s="32"/>
      <c r="F32" s="118"/>
      <c r="G32" s="118"/>
      <c r="H32" s="104"/>
      <c r="I32" s="63"/>
      <c r="J32" s="104"/>
      <c r="K32" s="104"/>
      <c r="L32" s="104"/>
      <c r="M32" s="104"/>
      <c r="N32" s="104"/>
      <c r="O32" s="104"/>
      <c r="P32" s="104"/>
      <c r="Q32" s="104"/>
      <c r="R32" s="104"/>
      <c r="S32" s="104"/>
      <c r="T32" s="104"/>
      <c r="U32" s="104"/>
    </row>
    <row r="33" spans="2:46" x14ac:dyDescent="0.25">
      <c r="B33" s="224" t="s">
        <v>45</v>
      </c>
      <c r="C33" s="226" t="str">
        <f>CONCATENATE("ALTERNATIVA 1: ",$D$11)</f>
        <v>ALTERNATIVA 1: SODIO</v>
      </c>
      <c r="D33" s="226"/>
      <c r="E33" s="226"/>
      <c r="F33" s="226"/>
      <c r="G33" s="226"/>
      <c r="H33" s="35"/>
      <c r="I33" s="222" t="s">
        <v>45</v>
      </c>
      <c r="J33" s="227" t="str">
        <f>CONCATENATE("ALTERNATIVA 2: ",$D$13)</f>
        <v>ALTERNATIVA 2: CMH</v>
      </c>
      <c r="K33" s="227"/>
      <c r="L33" s="227"/>
      <c r="M33" s="227"/>
      <c r="N33" s="227"/>
      <c r="O33" s="35"/>
      <c r="P33" s="228" t="s">
        <v>45</v>
      </c>
      <c r="Q33" s="219" t="str">
        <f>CONCATENATE("ALTERNATIVA 3: ",$D$15)</f>
        <v>ALTERNATIVA 3: LED</v>
      </c>
      <c r="R33" s="220"/>
      <c r="S33" s="220"/>
      <c r="T33" s="220"/>
      <c r="U33" s="221"/>
    </row>
    <row r="34" spans="2:46" ht="21" x14ac:dyDescent="0.25">
      <c r="B34" s="225"/>
      <c r="C34" s="46" t="s">
        <v>46</v>
      </c>
      <c r="D34" s="46" t="s">
        <v>14</v>
      </c>
      <c r="E34" s="46" t="s">
        <v>9</v>
      </c>
      <c r="F34" s="46" t="s">
        <v>10</v>
      </c>
      <c r="G34" s="47" t="s">
        <v>11</v>
      </c>
      <c r="H34" s="109"/>
      <c r="I34" s="223"/>
      <c r="J34" s="48" t="s">
        <v>46</v>
      </c>
      <c r="K34" s="49" t="s">
        <v>14</v>
      </c>
      <c r="L34" s="49" t="s">
        <v>9</v>
      </c>
      <c r="M34" s="49" t="s">
        <v>10</v>
      </c>
      <c r="N34" s="50" t="s">
        <v>11</v>
      </c>
      <c r="O34" s="21"/>
      <c r="P34" s="229"/>
      <c r="Q34" s="51" t="s">
        <v>46</v>
      </c>
      <c r="R34" s="51" t="s">
        <v>14</v>
      </c>
      <c r="S34" s="51" t="s">
        <v>9</v>
      </c>
      <c r="T34" s="51" t="s">
        <v>10</v>
      </c>
      <c r="U34" s="52" t="s">
        <v>11</v>
      </c>
    </row>
    <row r="35" spans="2:46" x14ac:dyDescent="0.25">
      <c r="B35" s="110" t="s">
        <v>152</v>
      </c>
      <c r="C35" s="122" t="s">
        <v>152</v>
      </c>
      <c r="D35" s="112">
        <v>30</v>
      </c>
      <c r="E35" s="111">
        <v>1</v>
      </c>
      <c r="F35" s="113">
        <v>2371332</v>
      </c>
      <c r="G35" s="113">
        <f>$F$35*$E$35</f>
        <v>2371332</v>
      </c>
      <c r="H35" s="109"/>
      <c r="I35" s="110" t="s">
        <v>152</v>
      </c>
      <c r="J35" s="122" t="s">
        <v>152</v>
      </c>
      <c r="K35" s="112">
        <v>30</v>
      </c>
      <c r="L35" s="111">
        <v>1</v>
      </c>
      <c r="M35" s="113">
        <v>2371332</v>
      </c>
      <c r="N35" s="113">
        <f>$M$35*$L$35</f>
        <v>2371332</v>
      </c>
      <c r="O35" s="21"/>
      <c r="P35" s="110" t="s">
        <v>152</v>
      </c>
      <c r="Q35" s="122" t="s">
        <v>152</v>
      </c>
      <c r="R35" s="112">
        <v>30</v>
      </c>
      <c r="S35" s="111">
        <v>1</v>
      </c>
      <c r="T35" s="113">
        <v>2371332</v>
      </c>
      <c r="U35" s="113">
        <f>$T$35*$S$35</f>
        <v>2371332</v>
      </c>
      <c r="AA35" s="167">
        <v>1</v>
      </c>
      <c r="AB35" s="167">
        <v>1</v>
      </c>
      <c r="AC35" s="167">
        <v>1</v>
      </c>
    </row>
    <row r="36" spans="2:46" x14ac:dyDescent="0.25">
      <c r="B36" s="110"/>
      <c r="C36" s="122"/>
      <c r="D36" s="112"/>
      <c r="E36" s="111"/>
      <c r="F36" s="113"/>
      <c r="G36" s="113"/>
      <c r="H36" s="109"/>
      <c r="I36" s="110"/>
      <c r="J36" s="122"/>
      <c r="K36" s="112"/>
      <c r="L36" s="111"/>
      <c r="M36" s="113"/>
      <c r="N36" s="113"/>
      <c r="O36" s="21"/>
      <c r="P36" s="110"/>
      <c r="Q36" s="122"/>
      <c r="R36" s="112"/>
      <c r="S36" s="111"/>
      <c r="T36" s="113"/>
      <c r="U36" s="113"/>
    </row>
    <row r="37" spans="2:46" x14ac:dyDescent="0.25">
      <c r="B37" s="211" t="s">
        <v>126</v>
      </c>
      <c r="C37" s="212"/>
      <c r="D37" s="212"/>
      <c r="E37" s="212"/>
      <c r="F37" s="212"/>
      <c r="G37" s="123">
        <f>SUM($G$35:$G$36)</f>
        <v>2371332</v>
      </c>
      <c r="H37" s="115"/>
      <c r="I37" s="213" t="s">
        <v>126</v>
      </c>
      <c r="J37" s="214"/>
      <c r="K37" s="214"/>
      <c r="L37" s="214"/>
      <c r="M37" s="214"/>
      <c r="N37" s="124">
        <f>SUM($N$35:$N$36)</f>
        <v>2371332</v>
      </c>
      <c r="O37" s="115"/>
      <c r="P37" s="215" t="s">
        <v>126</v>
      </c>
      <c r="Q37" s="216"/>
      <c r="R37" s="216"/>
      <c r="S37" s="216"/>
      <c r="T37" s="216"/>
      <c r="U37" s="125">
        <f>SUM($U$35:$U$36)</f>
        <v>2371332</v>
      </c>
    </row>
    <row r="38" spans="2:46" s="99" customFormat="1" ht="8.1" customHeight="1" x14ac:dyDescent="0.25">
      <c r="B38" s="103"/>
      <c r="C38" s="103"/>
      <c r="D38" s="103"/>
      <c r="E38" s="103"/>
      <c r="F38" s="103"/>
      <c r="G38" s="103"/>
      <c r="H38" s="103"/>
      <c r="I38" s="103"/>
      <c r="J38" s="103"/>
      <c r="K38" s="103"/>
      <c r="L38" s="103"/>
      <c r="M38" s="103"/>
      <c r="N38" s="103"/>
      <c r="O38" s="103"/>
      <c r="P38" s="103"/>
      <c r="Q38" s="103"/>
      <c r="R38" s="103"/>
      <c r="S38" s="103"/>
      <c r="T38" s="103"/>
      <c r="U38" s="103"/>
      <c r="W38" s="160"/>
      <c r="X38" s="160"/>
      <c r="Y38" s="167"/>
      <c r="Z38" s="167"/>
      <c r="AA38" s="167"/>
      <c r="AB38" s="167"/>
      <c r="AC38" s="167"/>
      <c r="AD38" s="167"/>
      <c r="AE38" s="167"/>
      <c r="AF38" s="167"/>
      <c r="AG38" s="167"/>
      <c r="AH38" s="167"/>
      <c r="AI38" s="167"/>
      <c r="AJ38" s="167"/>
      <c r="AK38" s="167"/>
      <c r="AL38" s="167"/>
      <c r="AM38" s="167"/>
      <c r="AN38" s="167"/>
      <c r="AO38" s="167"/>
      <c r="AP38" s="160"/>
      <c r="AQ38" s="160"/>
      <c r="AR38" s="160"/>
      <c r="AS38" s="160"/>
      <c r="AT38" s="160"/>
    </row>
    <row r="39" spans="2:46" s="126" customFormat="1" ht="21.75" customHeight="1" x14ac:dyDescent="0.25">
      <c r="B39" s="265" t="s">
        <v>59</v>
      </c>
      <c r="C39" s="266"/>
      <c r="D39" s="266"/>
      <c r="E39" s="266"/>
      <c r="F39" s="266"/>
      <c r="G39" s="59">
        <f>+G37+G31+G25</f>
        <v>15353222</v>
      </c>
      <c r="H39" s="127"/>
      <c r="I39" s="267" t="s">
        <v>60</v>
      </c>
      <c r="J39" s="268"/>
      <c r="K39" s="268"/>
      <c r="L39" s="268"/>
      <c r="M39" s="268"/>
      <c r="N39" s="60">
        <f>+N37+N31+N25</f>
        <v>15046582</v>
      </c>
      <c r="O39" s="127"/>
      <c r="P39" s="269" t="s">
        <v>61</v>
      </c>
      <c r="Q39" s="270"/>
      <c r="R39" s="270"/>
      <c r="S39" s="270"/>
      <c r="T39" s="270"/>
      <c r="U39" s="58">
        <f>+U37+U31+U25</f>
        <v>19426462</v>
      </c>
      <c r="W39" s="162"/>
      <c r="X39" s="162"/>
      <c r="Y39" s="168"/>
      <c r="Z39" s="168"/>
      <c r="AA39" s="168"/>
      <c r="AB39" s="168"/>
      <c r="AC39" s="168"/>
      <c r="AD39" s="168"/>
      <c r="AE39" s="168"/>
      <c r="AF39" s="168"/>
      <c r="AG39" s="168"/>
      <c r="AH39" s="168"/>
      <c r="AI39" s="168"/>
      <c r="AJ39" s="168"/>
      <c r="AK39" s="168"/>
      <c r="AL39" s="168"/>
      <c r="AM39" s="168"/>
      <c r="AN39" s="168"/>
      <c r="AO39" s="168"/>
      <c r="AP39" s="162"/>
      <c r="AQ39" s="162"/>
      <c r="AR39" s="162"/>
      <c r="AS39" s="162"/>
      <c r="AT39" s="162"/>
    </row>
    <row r="40" spans="2:46" s="99" customFormat="1" ht="10.5" customHeight="1" x14ac:dyDescent="0.25">
      <c r="B40" s="103"/>
      <c r="C40" s="103"/>
      <c r="D40" s="103"/>
      <c r="E40" s="103"/>
      <c r="F40" s="103"/>
      <c r="G40" s="103"/>
      <c r="H40" s="103"/>
      <c r="I40" s="103"/>
      <c r="J40" s="103"/>
      <c r="K40" s="103"/>
      <c r="L40" s="103"/>
      <c r="M40" s="103"/>
      <c r="N40" s="103"/>
      <c r="O40" s="103"/>
      <c r="P40" s="103"/>
      <c r="Q40" s="103"/>
      <c r="R40" s="103"/>
      <c r="S40" s="103"/>
      <c r="T40" s="103"/>
      <c r="U40" s="103"/>
      <c r="W40" s="160"/>
      <c r="X40" s="160"/>
      <c r="Y40" s="167"/>
      <c r="Z40" s="167"/>
      <c r="AA40" s="167"/>
      <c r="AB40" s="167"/>
      <c r="AC40" s="167"/>
      <c r="AD40" s="167"/>
      <c r="AE40" s="167"/>
      <c r="AF40" s="167"/>
      <c r="AG40" s="167"/>
      <c r="AH40" s="167"/>
      <c r="AI40" s="167"/>
      <c r="AJ40" s="167"/>
      <c r="AK40" s="167"/>
      <c r="AL40" s="167"/>
      <c r="AM40" s="167"/>
      <c r="AN40" s="167"/>
      <c r="AO40" s="167"/>
      <c r="AP40" s="160"/>
      <c r="AQ40" s="160"/>
      <c r="AR40" s="160"/>
      <c r="AS40" s="160"/>
      <c r="AT40" s="160"/>
    </row>
    <row r="41" spans="2:46" s="99" customFormat="1" ht="10.5" customHeight="1" x14ac:dyDescent="0.25">
      <c r="B41" s="103"/>
      <c r="C41" s="103"/>
      <c r="D41" s="103"/>
      <c r="E41" s="103"/>
      <c r="F41" s="103"/>
      <c r="G41" s="103"/>
      <c r="H41" s="103"/>
      <c r="I41" s="103"/>
      <c r="J41" s="103"/>
      <c r="K41" s="103"/>
      <c r="L41" s="103"/>
      <c r="M41" s="103"/>
      <c r="N41" s="103"/>
      <c r="O41" s="103"/>
      <c r="P41" s="103"/>
      <c r="Q41" s="103"/>
      <c r="R41" s="103"/>
      <c r="S41" s="103"/>
      <c r="T41" s="103"/>
      <c r="U41" s="103"/>
      <c r="W41" s="160"/>
      <c r="X41" s="160"/>
      <c r="Y41" s="167"/>
      <c r="Z41" s="167"/>
      <c r="AA41" s="167"/>
      <c r="AB41" s="167"/>
      <c r="AC41" s="167"/>
      <c r="AD41" s="167"/>
      <c r="AE41" s="167"/>
      <c r="AF41" s="167"/>
      <c r="AG41" s="167"/>
      <c r="AH41" s="167"/>
      <c r="AI41" s="167"/>
      <c r="AJ41" s="167"/>
      <c r="AK41" s="167"/>
      <c r="AL41" s="167"/>
      <c r="AM41" s="167"/>
      <c r="AN41" s="167"/>
      <c r="AO41" s="167"/>
      <c r="AP41" s="160"/>
      <c r="AQ41" s="160"/>
      <c r="AR41" s="160"/>
      <c r="AS41" s="160"/>
      <c r="AT41" s="160"/>
    </row>
    <row r="42" spans="2:46" s="99" customFormat="1" ht="27.75" customHeight="1" x14ac:dyDescent="0.25">
      <c r="B42" s="176" t="s">
        <v>29</v>
      </c>
      <c r="C42" s="176"/>
      <c r="D42" s="176"/>
      <c r="E42" s="176"/>
      <c r="F42" s="176"/>
      <c r="G42" s="176"/>
      <c r="H42" s="176"/>
      <c r="I42" s="176"/>
      <c r="J42" s="176"/>
      <c r="K42" s="176"/>
      <c r="L42" s="176"/>
      <c r="M42" s="176"/>
      <c r="N42" s="176"/>
      <c r="O42" s="176"/>
      <c r="P42" s="176"/>
      <c r="Q42" s="176"/>
      <c r="R42" s="176"/>
      <c r="S42" s="176"/>
      <c r="T42" s="176"/>
      <c r="U42" s="176"/>
      <c r="W42" s="160"/>
      <c r="X42" s="160"/>
      <c r="Y42" s="167"/>
      <c r="Z42" s="167"/>
      <c r="AA42" s="167"/>
      <c r="AB42" s="167"/>
      <c r="AC42" s="167"/>
      <c r="AD42" s="167"/>
      <c r="AE42" s="167"/>
      <c r="AF42" s="167"/>
      <c r="AG42" s="167"/>
      <c r="AH42" s="167"/>
      <c r="AI42" s="167"/>
      <c r="AJ42" s="167"/>
      <c r="AK42" s="167"/>
      <c r="AL42" s="167"/>
      <c r="AM42" s="167"/>
      <c r="AN42" s="167"/>
      <c r="AO42" s="167"/>
      <c r="AP42" s="160"/>
      <c r="AQ42" s="160"/>
      <c r="AR42" s="160"/>
      <c r="AS42" s="160"/>
      <c r="AT42" s="160"/>
    </row>
    <row r="43" spans="2:46" s="99" customFormat="1" ht="13.5" customHeight="1" x14ac:dyDescent="0.25">
      <c r="B43" s="12"/>
      <c r="C43" s="12"/>
      <c r="D43" s="12"/>
      <c r="E43" s="12"/>
      <c r="F43" s="12"/>
      <c r="G43" s="12"/>
      <c r="H43" s="12"/>
      <c r="I43" s="12"/>
      <c r="J43" s="12"/>
      <c r="K43" s="12"/>
      <c r="L43" s="12"/>
      <c r="M43" s="12"/>
      <c r="N43" s="12"/>
      <c r="O43" s="12"/>
      <c r="P43" s="12"/>
      <c r="Q43" s="12"/>
      <c r="R43" s="12"/>
      <c r="S43" s="12"/>
      <c r="T43" s="12"/>
      <c r="U43" s="12"/>
      <c r="W43" s="160"/>
      <c r="X43" s="160"/>
      <c r="Y43" s="167"/>
      <c r="Z43" s="167"/>
      <c r="AA43" s="167"/>
      <c r="AB43" s="167"/>
      <c r="AC43" s="167"/>
      <c r="AD43" s="167"/>
      <c r="AE43" s="167"/>
      <c r="AF43" s="167"/>
      <c r="AG43" s="167"/>
      <c r="AH43" s="167"/>
      <c r="AI43" s="167"/>
      <c r="AJ43" s="167"/>
      <c r="AK43" s="167"/>
      <c r="AL43" s="167"/>
      <c r="AM43" s="167"/>
      <c r="AN43" s="167"/>
      <c r="AO43" s="167"/>
      <c r="AP43" s="160"/>
      <c r="AQ43" s="160"/>
      <c r="AR43" s="160"/>
      <c r="AS43" s="160"/>
      <c r="AT43" s="160"/>
    </row>
    <row r="44" spans="2:46" s="99" customFormat="1" x14ac:dyDescent="0.25">
      <c r="B44" s="259" t="s">
        <v>56</v>
      </c>
      <c r="C44" s="179" t="str">
        <f>CONCATENATE("ALTERNATIVA 1: ",$D$11)</f>
        <v>ALTERNATIVA 1: SODIO</v>
      </c>
      <c r="D44" s="179"/>
      <c r="E44" s="179"/>
      <c r="F44" s="179"/>
      <c r="G44" s="179"/>
      <c r="H44" s="15"/>
      <c r="I44" s="261" t="s">
        <v>56</v>
      </c>
      <c r="J44" s="180" t="str">
        <f>CONCATENATE("ALTERNATIVA 2: ",$D$13)</f>
        <v>ALTERNATIVA 2: CMH</v>
      </c>
      <c r="K44" s="180"/>
      <c r="L44" s="180"/>
      <c r="M44" s="180"/>
      <c r="N44" s="180"/>
      <c r="O44" s="15"/>
      <c r="P44" s="263" t="s">
        <v>56</v>
      </c>
      <c r="Q44" s="183" t="str">
        <f>CONCATENATE("ALTERNATIVA 3: ",$D$15)</f>
        <v>ALTERNATIVA 3: LED</v>
      </c>
      <c r="R44" s="184"/>
      <c r="S44" s="184"/>
      <c r="T44" s="184"/>
      <c r="U44" s="181"/>
      <c r="W44" s="160"/>
      <c r="X44" s="160"/>
      <c r="Y44" s="167"/>
      <c r="Z44" s="167"/>
      <c r="AA44" s="167"/>
      <c r="AB44" s="167"/>
      <c r="AC44" s="167"/>
      <c r="AD44" s="167"/>
      <c r="AE44" s="167"/>
      <c r="AF44" s="167"/>
      <c r="AG44" s="167"/>
      <c r="AH44" s="167"/>
      <c r="AI44" s="167"/>
      <c r="AJ44" s="167"/>
      <c r="AK44" s="167"/>
      <c r="AL44" s="167"/>
      <c r="AM44" s="167"/>
      <c r="AN44" s="167"/>
      <c r="AO44" s="167"/>
      <c r="AP44" s="160"/>
      <c r="AQ44" s="160"/>
      <c r="AR44" s="160"/>
      <c r="AS44" s="160"/>
      <c r="AT44" s="160"/>
    </row>
    <row r="45" spans="2:46" s="99" customFormat="1" ht="21" x14ac:dyDescent="0.25">
      <c r="B45" s="260"/>
      <c r="C45" s="16" t="s">
        <v>12</v>
      </c>
      <c r="D45" s="16" t="s">
        <v>14</v>
      </c>
      <c r="E45" s="16" t="s">
        <v>76</v>
      </c>
      <c r="F45" s="16" t="s">
        <v>77</v>
      </c>
      <c r="G45" s="17" t="s">
        <v>11</v>
      </c>
      <c r="H45" s="109"/>
      <c r="I45" s="262"/>
      <c r="J45" s="56" t="s">
        <v>12</v>
      </c>
      <c r="K45" s="19" t="s">
        <v>14</v>
      </c>
      <c r="L45" s="19" t="s">
        <v>76</v>
      </c>
      <c r="M45" s="19" t="s">
        <v>77</v>
      </c>
      <c r="N45" s="20" t="s">
        <v>11</v>
      </c>
      <c r="O45" s="21"/>
      <c r="P45" s="264"/>
      <c r="Q45" s="22" t="s">
        <v>12</v>
      </c>
      <c r="R45" s="22" t="s">
        <v>14</v>
      </c>
      <c r="S45" s="22" t="s">
        <v>76</v>
      </c>
      <c r="T45" s="22" t="s">
        <v>77</v>
      </c>
      <c r="U45" s="23" t="s">
        <v>11</v>
      </c>
      <c r="W45" s="160"/>
      <c r="X45" s="160"/>
      <c r="Y45" s="167"/>
      <c r="Z45" s="167"/>
      <c r="AA45" s="167"/>
      <c r="AB45" s="167"/>
      <c r="AC45" s="167"/>
      <c r="AD45" s="167"/>
      <c r="AE45" s="167"/>
      <c r="AF45" s="167"/>
      <c r="AG45" s="167"/>
      <c r="AH45" s="167"/>
      <c r="AI45" s="167"/>
      <c r="AJ45" s="167"/>
      <c r="AK45" s="167"/>
      <c r="AL45" s="167"/>
      <c r="AM45" s="167"/>
      <c r="AN45" s="167"/>
      <c r="AO45" s="167"/>
      <c r="AP45" s="160"/>
      <c r="AQ45" s="160"/>
      <c r="AR45" s="160"/>
      <c r="AS45" s="160"/>
      <c r="AT45" s="160"/>
    </row>
    <row r="46" spans="2:46" s="99" customFormat="1" x14ac:dyDescent="0.25">
      <c r="B46" s="110" t="s">
        <v>127</v>
      </c>
      <c r="C46" s="111">
        <v>78.05</v>
      </c>
      <c r="D46" s="112">
        <v>7.5</v>
      </c>
      <c r="E46" s="128">
        <f>IF($N$11&gt;$D$46,(($N$11/$D$46)-1)*$E$23,0)</f>
        <v>13.333333333333336</v>
      </c>
      <c r="F46" s="113">
        <v>811799</v>
      </c>
      <c r="G46" s="113">
        <f>$F$46*$E$46</f>
        <v>10823986.666666668</v>
      </c>
      <c r="H46" s="109"/>
      <c r="I46" s="110" t="s">
        <v>131</v>
      </c>
      <c r="J46" s="111">
        <v>78.05</v>
      </c>
      <c r="K46" s="112">
        <v>7.5</v>
      </c>
      <c r="L46" s="128">
        <f>IF($N$11&gt;$K$46,(($N$11/$K$46)-1)*$L$23,0)</f>
        <v>13.333333333333336</v>
      </c>
      <c r="M46" s="113">
        <v>781135</v>
      </c>
      <c r="N46" s="113">
        <f>$M$46*$L$46</f>
        <v>10415133.333333336</v>
      </c>
      <c r="O46" s="21"/>
      <c r="P46" s="110" t="s">
        <v>135</v>
      </c>
      <c r="Q46" s="111">
        <v>41.3</v>
      </c>
      <c r="R46" s="111">
        <v>17.5</v>
      </c>
      <c r="S46" s="128">
        <f>IF($N$11&gt;$R$46,(($N$11/$R$46)-1)*$S$23,0)</f>
        <v>0</v>
      </c>
      <c r="T46" s="113">
        <v>1219123</v>
      </c>
      <c r="U46" s="113">
        <f>$T$46*$S$46</f>
        <v>0</v>
      </c>
      <c r="W46" s="160"/>
      <c r="X46" s="160"/>
      <c r="Y46" s="167"/>
      <c r="Z46" s="167"/>
      <c r="AA46" s="167"/>
      <c r="AB46" s="167"/>
      <c r="AC46" s="167"/>
      <c r="AD46" s="167"/>
      <c r="AE46" s="167"/>
      <c r="AF46" s="167"/>
      <c r="AG46" s="167"/>
      <c r="AH46" s="167"/>
      <c r="AI46" s="167"/>
      <c r="AJ46" s="167"/>
      <c r="AK46" s="167"/>
      <c r="AL46" s="167"/>
      <c r="AM46" s="167"/>
      <c r="AN46" s="167"/>
      <c r="AO46" s="167"/>
      <c r="AP46" s="160"/>
      <c r="AQ46" s="160"/>
      <c r="AR46" s="160"/>
      <c r="AS46" s="160"/>
      <c r="AT46" s="160"/>
    </row>
    <row r="47" spans="2:46" s="99" customFormat="1" x14ac:dyDescent="0.25">
      <c r="B47" s="110"/>
      <c r="C47" s="111"/>
      <c r="D47" s="112"/>
      <c r="E47" s="128"/>
      <c r="F47" s="113"/>
      <c r="G47" s="113"/>
      <c r="H47" s="109"/>
      <c r="I47" s="110"/>
      <c r="J47" s="111"/>
      <c r="K47" s="112"/>
      <c r="L47" s="128"/>
      <c r="M47" s="113"/>
      <c r="N47" s="113"/>
      <c r="O47" s="21"/>
      <c r="P47" s="110"/>
      <c r="Q47" s="111"/>
      <c r="R47" s="111"/>
      <c r="S47" s="128"/>
      <c r="T47" s="113"/>
      <c r="U47" s="113"/>
      <c r="W47" s="160"/>
      <c r="X47" s="160"/>
      <c r="Y47" s="167"/>
      <c r="Z47" s="167"/>
      <c r="AA47" s="167"/>
      <c r="AB47" s="167"/>
      <c r="AC47" s="167"/>
      <c r="AD47" s="167"/>
      <c r="AE47" s="167"/>
      <c r="AF47" s="167"/>
      <c r="AG47" s="167"/>
      <c r="AH47" s="167"/>
      <c r="AI47" s="167"/>
      <c r="AJ47" s="167"/>
      <c r="AK47" s="167"/>
      <c r="AL47" s="167"/>
      <c r="AM47" s="167"/>
      <c r="AN47" s="167"/>
      <c r="AO47" s="167"/>
      <c r="AP47" s="160"/>
      <c r="AQ47" s="160"/>
      <c r="AR47" s="160"/>
      <c r="AS47" s="160"/>
      <c r="AT47" s="160"/>
    </row>
    <row r="48" spans="2:46" s="99" customFormat="1" x14ac:dyDescent="0.25">
      <c r="B48" s="249" t="s">
        <v>126</v>
      </c>
      <c r="C48" s="250"/>
      <c r="D48" s="250"/>
      <c r="E48" s="250"/>
      <c r="F48" s="250"/>
      <c r="G48" s="114">
        <f>SUM($G$46:$G$47)</f>
        <v>10823986.666666668</v>
      </c>
      <c r="H48" s="115"/>
      <c r="I48" s="242" t="s">
        <v>126</v>
      </c>
      <c r="J48" s="243"/>
      <c r="K48" s="243"/>
      <c r="L48" s="243"/>
      <c r="M48" s="243"/>
      <c r="N48" s="116">
        <f>SUM($N$46:$N$47)</f>
        <v>10415133.333333336</v>
      </c>
      <c r="O48" s="115"/>
      <c r="P48" s="217" t="s">
        <v>126</v>
      </c>
      <c r="Q48" s="218"/>
      <c r="R48" s="218"/>
      <c r="S48" s="218"/>
      <c r="T48" s="218"/>
      <c r="U48" s="117">
        <f>SUM($U$46:$U$47)</f>
        <v>0</v>
      </c>
      <c r="W48" s="160"/>
      <c r="X48" s="160"/>
      <c r="Y48" s="167"/>
      <c r="Z48" s="167"/>
      <c r="AA48" s="167"/>
      <c r="AB48" s="167"/>
      <c r="AC48" s="167"/>
      <c r="AD48" s="167"/>
      <c r="AE48" s="167"/>
      <c r="AF48" s="167"/>
      <c r="AG48" s="167"/>
      <c r="AH48" s="167"/>
      <c r="AI48" s="167"/>
      <c r="AJ48" s="167"/>
      <c r="AK48" s="167"/>
      <c r="AL48" s="167"/>
      <c r="AM48" s="167"/>
      <c r="AN48" s="167"/>
      <c r="AO48" s="167"/>
      <c r="AP48" s="160"/>
      <c r="AQ48" s="160"/>
      <c r="AR48" s="160"/>
      <c r="AS48" s="160"/>
      <c r="AT48" s="160"/>
    </row>
    <row r="49" spans="2:46" s="99" customFormat="1" ht="9" customHeight="1" x14ac:dyDescent="0.25">
      <c r="B49" s="104"/>
      <c r="C49" s="32"/>
      <c r="D49" s="32"/>
      <c r="E49" s="32"/>
      <c r="F49" s="118"/>
      <c r="G49" s="118"/>
      <c r="H49" s="104"/>
      <c r="I49" s="63"/>
      <c r="J49" s="104"/>
      <c r="K49" s="104"/>
      <c r="L49" s="104"/>
      <c r="M49" s="104"/>
      <c r="N49" s="104"/>
      <c r="O49" s="104"/>
      <c r="P49" s="104"/>
      <c r="Q49" s="104"/>
      <c r="R49" s="104"/>
      <c r="S49" s="104"/>
      <c r="T49" s="104"/>
      <c r="U49" s="104"/>
      <c r="W49" s="160"/>
      <c r="X49" s="160"/>
      <c r="Y49" s="167"/>
      <c r="Z49" s="167"/>
      <c r="AA49" s="167"/>
      <c r="AB49" s="167"/>
      <c r="AC49" s="167"/>
      <c r="AD49" s="167"/>
      <c r="AE49" s="167"/>
      <c r="AF49" s="167"/>
      <c r="AG49" s="167"/>
      <c r="AH49" s="167"/>
      <c r="AI49" s="167"/>
      <c r="AJ49" s="167"/>
      <c r="AK49" s="167"/>
      <c r="AL49" s="167"/>
      <c r="AM49" s="167"/>
      <c r="AN49" s="167"/>
      <c r="AO49" s="167"/>
      <c r="AP49" s="160"/>
      <c r="AQ49" s="160"/>
      <c r="AR49" s="160"/>
      <c r="AS49" s="160"/>
      <c r="AT49" s="160"/>
    </row>
    <row r="50" spans="2:46" s="99" customFormat="1" x14ac:dyDescent="0.25">
      <c r="B50" s="271" t="s">
        <v>57</v>
      </c>
      <c r="C50" s="241" t="str">
        <f>CONCATENATE("ALTERNATIVA 1: ",$D$11)</f>
        <v>ALTERNATIVA 1: SODIO</v>
      </c>
      <c r="D50" s="241"/>
      <c r="E50" s="241"/>
      <c r="F50" s="241"/>
      <c r="G50" s="241"/>
      <c r="H50" s="35"/>
      <c r="I50" s="273" t="s">
        <v>57</v>
      </c>
      <c r="J50" s="244" t="str">
        <f>CONCATENATE("ALTERNATIVA 2: ",$D$13)</f>
        <v>ALTERNATIVA 2: CMH</v>
      </c>
      <c r="K50" s="244"/>
      <c r="L50" s="244"/>
      <c r="M50" s="244"/>
      <c r="N50" s="245"/>
      <c r="O50" s="35"/>
      <c r="P50" s="275" t="s">
        <v>57</v>
      </c>
      <c r="Q50" s="236" t="str">
        <f>CONCATENATE("ALTERNATIVA 3: ",$D$15)</f>
        <v>ALTERNATIVA 3: LED</v>
      </c>
      <c r="R50" s="237"/>
      <c r="S50" s="237"/>
      <c r="T50" s="237"/>
      <c r="U50" s="238"/>
      <c r="W50" s="160"/>
      <c r="X50" s="160"/>
      <c r="Y50" s="167"/>
      <c r="Z50" s="167"/>
      <c r="AA50" s="167"/>
      <c r="AB50" s="167"/>
      <c r="AC50" s="167"/>
      <c r="AD50" s="167"/>
      <c r="AE50" s="167"/>
      <c r="AF50" s="167"/>
      <c r="AG50" s="167"/>
      <c r="AH50" s="167"/>
      <c r="AI50" s="167"/>
      <c r="AJ50" s="167"/>
      <c r="AK50" s="167"/>
      <c r="AL50" s="167"/>
      <c r="AM50" s="167"/>
      <c r="AN50" s="167"/>
      <c r="AO50" s="167"/>
      <c r="AP50" s="160"/>
      <c r="AQ50" s="160"/>
      <c r="AR50" s="160"/>
      <c r="AS50" s="160"/>
      <c r="AT50" s="160"/>
    </row>
    <row r="51" spans="2:46" s="99" customFormat="1" ht="21" x14ac:dyDescent="0.25">
      <c r="B51" s="272"/>
      <c r="C51" s="36" t="s">
        <v>30</v>
      </c>
      <c r="D51" s="36" t="s">
        <v>14</v>
      </c>
      <c r="E51" s="36" t="s">
        <v>76</v>
      </c>
      <c r="F51" s="36" t="s">
        <v>77</v>
      </c>
      <c r="G51" s="37" t="s">
        <v>11</v>
      </c>
      <c r="H51" s="109"/>
      <c r="I51" s="274"/>
      <c r="J51" s="38" t="s">
        <v>30</v>
      </c>
      <c r="K51" s="39" t="s">
        <v>14</v>
      </c>
      <c r="L51" s="39" t="s">
        <v>76</v>
      </c>
      <c r="M51" s="39" t="s">
        <v>77</v>
      </c>
      <c r="N51" s="40" t="s">
        <v>11</v>
      </c>
      <c r="O51" s="21"/>
      <c r="P51" s="276"/>
      <c r="Q51" s="41" t="s">
        <v>30</v>
      </c>
      <c r="R51" s="41" t="s">
        <v>14</v>
      </c>
      <c r="S51" s="41" t="s">
        <v>76</v>
      </c>
      <c r="T51" s="41" t="s">
        <v>77</v>
      </c>
      <c r="U51" s="42" t="s">
        <v>11</v>
      </c>
      <c r="W51" s="160"/>
      <c r="X51" s="160"/>
      <c r="Y51" s="167"/>
      <c r="Z51" s="167"/>
      <c r="AA51" s="167"/>
      <c r="AB51" s="167"/>
      <c r="AC51" s="167"/>
      <c r="AD51" s="167"/>
      <c r="AE51" s="167"/>
      <c r="AF51" s="167"/>
      <c r="AG51" s="167"/>
      <c r="AH51" s="167"/>
      <c r="AI51" s="167"/>
      <c r="AJ51" s="167"/>
      <c r="AK51" s="167"/>
      <c r="AL51" s="167"/>
      <c r="AM51" s="167"/>
      <c r="AN51" s="167"/>
      <c r="AO51" s="167"/>
      <c r="AP51" s="160"/>
      <c r="AQ51" s="160"/>
      <c r="AR51" s="160"/>
      <c r="AS51" s="160"/>
      <c r="AT51" s="160"/>
    </row>
    <row r="52" spans="2:46" s="99" customFormat="1" x14ac:dyDescent="0.25">
      <c r="B52" s="110" t="s">
        <v>142</v>
      </c>
      <c r="C52" s="111" t="s">
        <v>37</v>
      </c>
      <c r="D52" s="111">
        <v>30</v>
      </c>
      <c r="E52" s="112">
        <f>IF($N$11&gt;$D$52,(($N$11/$D$52)-1)*$E$29,0)</f>
        <v>0</v>
      </c>
      <c r="F52" s="113">
        <v>486390</v>
      </c>
      <c r="G52" s="113">
        <f>$F$52*$E$52</f>
        <v>0</v>
      </c>
      <c r="H52" s="109"/>
      <c r="I52" s="110" t="s">
        <v>142</v>
      </c>
      <c r="J52" s="111" t="s">
        <v>37</v>
      </c>
      <c r="K52" s="112">
        <v>30</v>
      </c>
      <c r="L52" s="112">
        <f>IF($N$11&gt;$K$52,(($N$11/$K$52)-1)*$L$29,0)</f>
        <v>0</v>
      </c>
      <c r="M52" s="113">
        <v>486390</v>
      </c>
      <c r="N52" s="113">
        <f>$M$52*$L$52</f>
        <v>0</v>
      </c>
      <c r="O52" s="21"/>
      <c r="P52" s="110" t="s">
        <v>142</v>
      </c>
      <c r="Q52" s="111" t="s">
        <v>37</v>
      </c>
      <c r="R52" s="112">
        <v>30</v>
      </c>
      <c r="S52" s="112">
        <f>IF($N$11&gt;$R$52,(($N$11/$R$52)-1)*$S$29,0)</f>
        <v>0</v>
      </c>
      <c r="T52" s="113">
        <v>486390</v>
      </c>
      <c r="U52" s="113">
        <f>$T$52*$S$52</f>
        <v>0</v>
      </c>
      <c r="W52" s="160"/>
      <c r="X52" s="160"/>
      <c r="Y52" s="167"/>
      <c r="Z52" s="167"/>
      <c r="AA52" s="167"/>
      <c r="AB52" s="167"/>
      <c r="AC52" s="167"/>
      <c r="AD52" s="167"/>
      <c r="AE52" s="167"/>
      <c r="AF52" s="167"/>
      <c r="AG52" s="167"/>
      <c r="AH52" s="167"/>
      <c r="AI52" s="167"/>
      <c r="AJ52" s="167"/>
      <c r="AK52" s="167"/>
      <c r="AL52" s="167"/>
      <c r="AM52" s="167"/>
      <c r="AN52" s="167"/>
      <c r="AO52" s="167"/>
      <c r="AP52" s="160"/>
      <c r="AQ52" s="160"/>
      <c r="AR52" s="160"/>
      <c r="AS52" s="160"/>
      <c r="AT52" s="160"/>
    </row>
    <row r="53" spans="2:46" s="99" customFormat="1" x14ac:dyDescent="0.25">
      <c r="B53" s="110"/>
      <c r="C53" s="111"/>
      <c r="D53" s="111"/>
      <c r="E53" s="112"/>
      <c r="F53" s="113"/>
      <c r="G53" s="113"/>
      <c r="H53" s="109"/>
      <c r="I53" s="110"/>
      <c r="J53" s="111"/>
      <c r="K53" s="112"/>
      <c r="L53" s="112"/>
      <c r="M53" s="113"/>
      <c r="N53" s="113"/>
      <c r="O53" s="21"/>
      <c r="P53" s="110"/>
      <c r="Q53" s="111"/>
      <c r="R53" s="112"/>
      <c r="S53" s="112"/>
      <c r="T53" s="113"/>
      <c r="U53" s="113"/>
      <c r="W53" s="160"/>
      <c r="X53" s="160"/>
      <c r="Y53" s="167"/>
      <c r="Z53" s="167"/>
      <c r="AA53" s="167"/>
      <c r="AB53" s="167"/>
      <c r="AC53" s="167"/>
      <c r="AD53" s="167"/>
      <c r="AE53" s="167"/>
      <c r="AF53" s="167"/>
      <c r="AG53" s="167"/>
      <c r="AH53" s="167"/>
      <c r="AI53" s="167"/>
      <c r="AJ53" s="167"/>
      <c r="AK53" s="167"/>
      <c r="AL53" s="167"/>
      <c r="AM53" s="167"/>
      <c r="AN53" s="167"/>
      <c r="AO53" s="167"/>
      <c r="AP53" s="160"/>
      <c r="AQ53" s="160"/>
      <c r="AR53" s="160"/>
      <c r="AS53" s="160"/>
      <c r="AT53" s="160"/>
    </row>
    <row r="54" spans="2:46" s="99" customFormat="1" x14ac:dyDescent="0.25">
      <c r="B54" s="230" t="s">
        <v>126</v>
      </c>
      <c r="C54" s="231"/>
      <c r="D54" s="231"/>
      <c r="E54" s="231"/>
      <c r="F54" s="231"/>
      <c r="G54" s="119">
        <f>SUM($G$52:$G$53)</f>
        <v>0</v>
      </c>
      <c r="H54" s="115"/>
      <c r="I54" s="232" t="s">
        <v>126</v>
      </c>
      <c r="J54" s="233"/>
      <c r="K54" s="233"/>
      <c r="L54" s="233"/>
      <c r="M54" s="233"/>
      <c r="N54" s="120">
        <f>SUM($N$52:$N$53)</f>
        <v>0</v>
      </c>
      <c r="O54" s="115"/>
      <c r="P54" s="234" t="s">
        <v>126</v>
      </c>
      <c r="Q54" s="235"/>
      <c r="R54" s="235"/>
      <c r="S54" s="235"/>
      <c r="T54" s="235"/>
      <c r="U54" s="121">
        <f>SUM($U$52:$U$53)</f>
        <v>0</v>
      </c>
      <c r="W54" s="160"/>
      <c r="X54" s="160"/>
      <c r="Y54" s="167"/>
      <c r="Z54" s="167"/>
      <c r="AA54" s="167"/>
      <c r="AB54" s="167"/>
      <c r="AC54" s="167"/>
      <c r="AD54" s="167"/>
      <c r="AE54" s="167"/>
      <c r="AF54" s="167"/>
      <c r="AG54" s="167"/>
      <c r="AH54" s="167"/>
      <c r="AI54" s="167"/>
      <c r="AJ54" s="167"/>
      <c r="AK54" s="167"/>
      <c r="AL54" s="167"/>
      <c r="AM54" s="167"/>
      <c r="AN54" s="167"/>
      <c r="AO54" s="167"/>
      <c r="AP54" s="160"/>
      <c r="AQ54" s="160"/>
      <c r="AR54" s="160"/>
      <c r="AS54" s="160"/>
      <c r="AT54" s="160"/>
    </row>
    <row r="55" spans="2:46" s="99" customFormat="1" ht="9" customHeight="1" x14ac:dyDescent="0.25">
      <c r="B55" s="104"/>
      <c r="C55" s="32"/>
      <c r="D55" s="32"/>
      <c r="E55" s="32"/>
      <c r="F55" s="118"/>
      <c r="G55" s="118"/>
      <c r="H55" s="104"/>
      <c r="I55" s="63"/>
      <c r="J55" s="104"/>
      <c r="K55" s="104"/>
      <c r="L55" s="104"/>
      <c r="M55" s="104"/>
      <c r="N55" s="104"/>
      <c r="O55" s="104"/>
      <c r="P55" s="104"/>
      <c r="Q55" s="104"/>
      <c r="R55" s="104"/>
      <c r="S55" s="104"/>
      <c r="T55" s="104"/>
      <c r="U55" s="104"/>
      <c r="W55" s="160"/>
      <c r="X55" s="160"/>
      <c r="Y55" s="167"/>
      <c r="Z55" s="167"/>
      <c r="AA55" s="167"/>
      <c r="AB55" s="167"/>
      <c r="AC55" s="167"/>
      <c r="AD55" s="167"/>
      <c r="AE55" s="167"/>
      <c r="AF55" s="167"/>
      <c r="AG55" s="167"/>
      <c r="AH55" s="167"/>
      <c r="AI55" s="167"/>
      <c r="AJ55" s="167"/>
      <c r="AK55" s="167"/>
      <c r="AL55" s="167"/>
      <c r="AM55" s="167"/>
      <c r="AN55" s="167"/>
      <c r="AO55" s="167"/>
      <c r="AP55" s="160"/>
      <c r="AQ55" s="160"/>
      <c r="AR55" s="160"/>
      <c r="AS55" s="160"/>
      <c r="AT55" s="160"/>
    </row>
    <row r="56" spans="2:46" s="99" customFormat="1" x14ac:dyDescent="0.25">
      <c r="B56" s="251" t="s">
        <v>58</v>
      </c>
      <c r="C56" s="253" t="str">
        <f>CONCATENATE("ALTERNATIVA 1: ",$D$11)</f>
        <v>ALTERNATIVA 1: SODIO</v>
      </c>
      <c r="D56" s="226"/>
      <c r="E56" s="226"/>
      <c r="F56" s="226"/>
      <c r="G56" s="254"/>
      <c r="H56" s="35"/>
      <c r="I56" s="255" t="s">
        <v>58</v>
      </c>
      <c r="J56" s="227" t="str">
        <f>CONCATENATE("ALTERNATIVA 2: ",$D$13)</f>
        <v>ALTERNATIVA 2: CMH</v>
      </c>
      <c r="K56" s="227"/>
      <c r="L56" s="227"/>
      <c r="M56" s="227"/>
      <c r="N56" s="227"/>
      <c r="O56" s="35"/>
      <c r="P56" s="257" t="s">
        <v>58</v>
      </c>
      <c r="Q56" s="219" t="str">
        <f>CONCATENATE("ALTERNATIVA 3: ",$D$15)</f>
        <v>ALTERNATIVA 3: LED</v>
      </c>
      <c r="R56" s="220"/>
      <c r="S56" s="220"/>
      <c r="T56" s="220"/>
      <c r="U56" s="221"/>
      <c r="W56" s="160"/>
      <c r="X56" s="160"/>
      <c r="Y56" s="167"/>
      <c r="Z56" s="167"/>
      <c r="AA56" s="167"/>
      <c r="AB56" s="167"/>
      <c r="AC56" s="167"/>
      <c r="AD56" s="167"/>
      <c r="AE56" s="167"/>
      <c r="AF56" s="167"/>
      <c r="AG56" s="167"/>
      <c r="AH56" s="167"/>
      <c r="AI56" s="167"/>
      <c r="AJ56" s="167"/>
      <c r="AK56" s="167"/>
      <c r="AL56" s="167"/>
      <c r="AM56" s="167"/>
      <c r="AN56" s="167"/>
      <c r="AO56" s="167"/>
      <c r="AP56" s="160"/>
      <c r="AQ56" s="160"/>
      <c r="AR56" s="160"/>
      <c r="AS56" s="160"/>
      <c r="AT56" s="160"/>
    </row>
    <row r="57" spans="2:46" s="99" customFormat="1" ht="21" x14ac:dyDescent="0.25">
      <c r="B57" s="252"/>
      <c r="C57" s="46" t="s">
        <v>46</v>
      </c>
      <c r="D57" s="46" t="s">
        <v>14</v>
      </c>
      <c r="E57" s="46" t="s">
        <v>76</v>
      </c>
      <c r="F57" s="46" t="s">
        <v>77</v>
      </c>
      <c r="G57" s="47" t="s">
        <v>11</v>
      </c>
      <c r="H57" s="109"/>
      <c r="I57" s="256"/>
      <c r="J57" s="48" t="s">
        <v>46</v>
      </c>
      <c r="K57" s="49" t="s">
        <v>14</v>
      </c>
      <c r="L57" s="49" t="s">
        <v>76</v>
      </c>
      <c r="M57" s="49" t="s">
        <v>77</v>
      </c>
      <c r="N57" s="50" t="s">
        <v>11</v>
      </c>
      <c r="O57" s="21"/>
      <c r="P57" s="258"/>
      <c r="Q57" s="51" t="s">
        <v>46</v>
      </c>
      <c r="R57" s="51" t="s">
        <v>14</v>
      </c>
      <c r="S57" s="51" t="s">
        <v>76</v>
      </c>
      <c r="T57" s="51" t="s">
        <v>77</v>
      </c>
      <c r="U57" s="52" t="s">
        <v>11</v>
      </c>
      <c r="W57" s="160"/>
      <c r="X57" s="160"/>
      <c r="Y57" s="167"/>
      <c r="Z57" s="167"/>
      <c r="AA57" s="167"/>
      <c r="AB57" s="167"/>
      <c r="AC57" s="167"/>
      <c r="AD57" s="167"/>
      <c r="AE57" s="167"/>
      <c r="AF57" s="167"/>
      <c r="AG57" s="167"/>
      <c r="AH57" s="167"/>
      <c r="AI57" s="167"/>
      <c r="AJ57" s="167"/>
      <c r="AK57" s="167"/>
      <c r="AL57" s="167"/>
      <c r="AM57" s="167"/>
      <c r="AN57" s="167"/>
      <c r="AO57" s="167"/>
      <c r="AP57" s="160"/>
      <c r="AQ57" s="160"/>
      <c r="AR57" s="160"/>
      <c r="AS57" s="160"/>
      <c r="AT57" s="160"/>
    </row>
    <row r="58" spans="2:46" s="99" customFormat="1" x14ac:dyDescent="0.25">
      <c r="B58" s="110" t="s">
        <v>152</v>
      </c>
      <c r="C58" s="122" t="s">
        <v>152</v>
      </c>
      <c r="D58" s="112">
        <v>30</v>
      </c>
      <c r="E58" s="111">
        <f>IF($N$11&gt;$D$58,(($N$11/$D$58)-1)*$E$35,0)</f>
        <v>0</v>
      </c>
      <c r="F58" s="113">
        <v>2371332</v>
      </c>
      <c r="G58" s="113">
        <f>$F$58*$E$58</f>
        <v>0</v>
      </c>
      <c r="H58" s="109"/>
      <c r="I58" s="110" t="s">
        <v>152</v>
      </c>
      <c r="J58" s="122" t="s">
        <v>152</v>
      </c>
      <c r="K58" s="112">
        <v>30</v>
      </c>
      <c r="L58" s="111">
        <f>IF($N$11&gt;$K$58,(($N$11/$K$58)-1)*$L$35,0)</f>
        <v>0</v>
      </c>
      <c r="M58" s="113">
        <v>2371332</v>
      </c>
      <c r="N58" s="113">
        <f>$M$58*$L$58</f>
        <v>0</v>
      </c>
      <c r="O58" s="21"/>
      <c r="P58" s="110" t="s">
        <v>152</v>
      </c>
      <c r="Q58" s="122" t="s">
        <v>152</v>
      </c>
      <c r="R58" s="112">
        <v>30</v>
      </c>
      <c r="S58" s="111">
        <f>IF($N$11&gt;$R$58,(($N$11/$R$58)-1)*$S$35,0)</f>
        <v>0</v>
      </c>
      <c r="T58" s="113">
        <v>2371332</v>
      </c>
      <c r="U58" s="113">
        <f>$T$58*$S$58</f>
        <v>0</v>
      </c>
      <c r="W58" s="160"/>
      <c r="X58" s="160"/>
      <c r="Y58" s="167"/>
      <c r="Z58" s="167"/>
      <c r="AA58" s="167"/>
      <c r="AB58" s="167"/>
      <c r="AC58" s="167"/>
      <c r="AD58" s="167"/>
      <c r="AE58" s="167"/>
      <c r="AF58" s="167"/>
      <c r="AG58" s="167"/>
      <c r="AH58" s="167"/>
      <c r="AI58" s="167"/>
      <c r="AJ58" s="167"/>
      <c r="AK58" s="167"/>
      <c r="AL58" s="167"/>
      <c r="AM58" s="167"/>
      <c r="AN58" s="167"/>
      <c r="AO58" s="167"/>
      <c r="AP58" s="160"/>
      <c r="AQ58" s="160"/>
      <c r="AR58" s="160"/>
      <c r="AS58" s="160"/>
      <c r="AT58" s="160"/>
    </row>
    <row r="59" spans="2:46" s="99" customFormat="1" x14ac:dyDescent="0.25">
      <c r="B59" s="110"/>
      <c r="C59" s="111"/>
      <c r="D59" s="112"/>
      <c r="E59" s="111"/>
      <c r="F59" s="113"/>
      <c r="G59" s="113"/>
      <c r="H59" s="109"/>
      <c r="I59" s="110"/>
      <c r="J59" s="111"/>
      <c r="K59" s="112"/>
      <c r="L59" s="111"/>
      <c r="M59" s="113"/>
      <c r="N59" s="113"/>
      <c r="O59" s="21"/>
      <c r="P59" s="110"/>
      <c r="Q59" s="122"/>
      <c r="R59" s="112"/>
      <c r="S59" s="111"/>
      <c r="T59" s="113"/>
      <c r="U59" s="113"/>
      <c r="W59" s="160"/>
      <c r="X59" s="160"/>
      <c r="Y59" s="167"/>
      <c r="Z59" s="167"/>
      <c r="AA59" s="167"/>
      <c r="AB59" s="167"/>
      <c r="AC59" s="167"/>
      <c r="AD59" s="167"/>
      <c r="AE59" s="167"/>
      <c r="AF59" s="167"/>
      <c r="AG59" s="167"/>
      <c r="AH59" s="167"/>
      <c r="AI59" s="167"/>
      <c r="AJ59" s="167"/>
      <c r="AK59" s="167"/>
      <c r="AL59" s="167"/>
      <c r="AM59" s="167"/>
      <c r="AN59" s="167"/>
      <c r="AO59" s="167"/>
      <c r="AP59" s="160"/>
      <c r="AQ59" s="160"/>
      <c r="AR59" s="160"/>
      <c r="AS59" s="160"/>
      <c r="AT59" s="160"/>
    </row>
    <row r="60" spans="2:46" s="99" customFormat="1" x14ac:dyDescent="0.25">
      <c r="B60" s="211" t="s">
        <v>126</v>
      </c>
      <c r="C60" s="212"/>
      <c r="D60" s="212"/>
      <c r="E60" s="212"/>
      <c r="F60" s="212"/>
      <c r="G60" s="123">
        <f>SUM($G$58:$G$59)</f>
        <v>0</v>
      </c>
      <c r="H60" s="115"/>
      <c r="I60" s="213" t="s">
        <v>126</v>
      </c>
      <c r="J60" s="214"/>
      <c r="K60" s="214"/>
      <c r="L60" s="214"/>
      <c r="M60" s="214"/>
      <c r="N60" s="124">
        <f>SUM($N$58:$N$59)</f>
        <v>0</v>
      </c>
      <c r="O60" s="115"/>
      <c r="P60" s="215" t="s">
        <v>126</v>
      </c>
      <c r="Q60" s="216"/>
      <c r="R60" s="216"/>
      <c r="S60" s="216"/>
      <c r="T60" s="216"/>
      <c r="U60" s="125">
        <f>SUM($U$58:$U$59)</f>
        <v>0</v>
      </c>
      <c r="W60" s="160"/>
      <c r="X60" s="160"/>
      <c r="Y60" s="167"/>
      <c r="Z60" s="167"/>
      <c r="AA60" s="167"/>
      <c r="AB60" s="167"/>
      <c r="AC60" s="167"/>
      <c r="AD60" s="167"/>
      <c r="AE60" s="167"/>
      <c r="AF60" s="167"/>
      <c r="AG60" s="167"/>
      <c r="AH60" s="167"/>
      <c r="AI60" s="167"/>
      <c r="AJ60" s="167"/>
      <c r="AK60" s="167"/>
      <c r="AL60" s="167"/>
      <c r="AM60" s="167"/>
      <c r="AN60" s="167"/>
      <c r="AO60" s="167"/>
      <c r="AP60" s="160"/>
      <c r="AQ60" s="160"/>
      <c r="AR60" s="160"/>
      <c r="AS60" s="160"/>
      <c r="AT60" s="160"/>
    </row>
    <row r="61" spans="2:46" s="99" customFormat="1" ht="9" customHeight="1" x14ac:dyDescent="0.25">
      <c r="B61" s="104"/>
      <c r="C61" s="104"/>
      <c r="D61" s="104"/>
      <c r="E61" s="104"/>
      <c r="F61" s="104"/>
      <c r="G61" s="104"/>
      <c r="H61" s="104"/>
      <c r="I61" s="104"/>
      <c r="J61" s="104"/>
      <c r="K61" s="104"/>
      <c r="L61" s="104"/>
      <c r="M61" s="104"/>
      <c r="N61" s="104"/>
      <c r="O61" s="104"/>
      <c r="P61" s="104"/>
      <c r="Q61" s="104"/>
      <c r="R61" s="104"/>
      <c r="S61" s="104"/>
      <c r="T61" s="104"/>
      <c r="U61" s="104"/>
      <c r="W61" s="160"/>
      <c r="X61" s="160"/>
      <c r="Y61" s="167"/>
      <c r="Z61" s="167"/>
      <c r="AA61" s="167"/>
      <c r="AB61" s="167"/>
      <c r="AC61" s="167"/>
      <c r="AD61" s="167"/>
      <c r="AE61" s="167"/>
      <c r="AF61" s="167"/>
      <c r="AG61" s="167"/>
      <c r="AH61" s="167"/>
      <c r="AI61" s="167"/>
      <c r="AJ61" s="167"/>
      <c r="AK61" s="167"/>
      <c r="AL61" s="167"/>
      <c r="AM61" s="167"/>
      <c r="AN61" s="167"/>
      <c r="AO61" s="167"/>
      <c r="AP61" s="160"/>
      <c r="AQ61" s="160"/>
      <c r="AR61" s="160"/>
      <c r="AS61" s="160"/>
      <c r="AT61" s="160"/>
    </row>
    <row r="62" spans="2:46" s="99" customFormat="1" ht="15" customHeight="1" x14ac:dyDescent="0.25">
      <c r="B62" s="259" t="s">
        <v>74</v>
      </c>
      <c r="C62" s="179" t="str">
        <f>CONCATENATE("ALTERNATIVA 1: ",$D$11)</f>
        <v>ALTERNATIVA 1: SODIO</v>
      </c>
      <c r="D62" s="179"/>
      <c r="E62" s="179"/>
      <c r="F62" s="179"/>
      <c r="G62" s="179"/>
      <c r="H62" s="15"/>
      <c r="I62" s="261" t="s">
        <v>74</v>
      </c>
      <c r="J62" s="180" t="str">
        <f>CONCATENATE("ALTERNATIVA 2: ",$D$13)</f>
        <v>ALTERNATIVA 2: CMH</v>
      </c>
      <c r="K62" s="180"/>
      <c r="L62" s="180"/>
      <c r="M62" s="180"/>
      <c r="N62" s="180"/>
      <c r="O62" s="15"/>
      <c r="P62" s="263" t="s">
        <v>74</v>
      </c>
      <c r="Q62" s="183" t="str">
        <f>CONCATENATE("ALTERNATIVA 3: ",$D$15)</f>
        <v>ALTERNATIVA 3: LED</v>
      </c>
      <c r="R62" s="184"/>
      <c r="S62" s="184"/>
      <c r="T62" s="184"/>
      <c r="U62" s="181"/>
      <c r="W62" s="160"/>
      <c r="X62" s="160"/>
      <c r="Y62" s="167"/>
      <c r="Z62" s="167"/>
      <c r="AA62" s="167"/>
      <c r="AB62" s="167"/>
      <c r="AC62" s="167"/>
      <c r="AD62" s="167"/>
      <c r="AE62" s="167"/>
      <c r="AF62" s="167"/>
      <c r="AG62" s="167"/>
      <c r="AH62" s="167"/>
      <c r="AI62" s="167"/>
      <c r="AJ62" s="167"/>
      <c r="AK62" s="167"/>
      <c r="AL62" s="167"/>
      <c r="AM62" s="167"/>
      <c r="AN62" s="167"/>
      <c r="AO62" s="167"/>
      <c r="AP62" s="160"/>
      <c r="AQ62" s="160"/>
      <c r="AR62" s="160"/>
      <c r="AS62" s="160"/>
      <c r="AT62" s="160"/>
    </row>
    <row r="63" spans="2:46" s="99" customFormat="1" ht="25.5" customHeight="1" x14ac:dyDescent="0.25">
      <c r="B63" s="260"/>
      <c r="C63" s="16" t="s">
        <v>72</v>
      </c>
      <c r="D63" s="16" t="s">
        <v>75</v>
      </c>
      <c r="E63" s="16" t="s">
        <v>9</v>
      </c>
      <c r="F63" s="84" t="s">
        <v>73</v>
      </c>
      <c r="G63" s="17" t="s">
        <v>11</v>
      </c>
      <c r="H63" s="109"/>
      <c r="I63" s="262"/>
      <c r="J63" s="19" t="s">
        <v>72</v>
      </c>
      <c r="K63" s="19" t="s">
        <v>75</v>
      </c>
      <c r="L63" s="19" t="s">
        <v>9</v>
      </c>
      <c r="M63" s="13" t="s">
        <v>73</v>
      </c>
      <c r="N63" s="57" t="s">
        <v>11</v>
      </c>
      <c r="O63" s="21"/>
      <c r="P63" s="264"/>
      <c r="Q63" s="22" t="s">
        <v>72</v>
      </c>
      <c r="R63" s="22" t="s">
        <v>75</v>
      </c>
      <c r="S63" s="22" t="s">
        <v>9</v>
      </c>
      <c r="T63" s="14" t="s">
        <v>73</v>
      </c>
      <c r="U63" s="23" t="s">
        <v>11</v>
      </c>
      <c r="W63" s="160"/>
      <c r="X63" s="160"/>
      <c r="Y63" s="167"/>
      <c r="Z63" s="167"/>
      <c r="AA63" s="167"/>
      <c r="AB63" s="167"/>
      <c r="AC63" s="167"/>
      <c r="AD63" s="167"/>
      <c r="AE63" s="167"/>
      <c r="AF63" s="167"/>
      <c r="AG63" s="167"/>
      <c r="AH63" s="167"/>
      <c r="AI63" s="167"/>
      <c r="AJ63" s="167"/>
      <c r="AK63" s="167"/>
      <c r="AL63" s="167"/>
      <c r="AM63" s="167"/>
      <c r="AN63" s="167"/>
      <c r="AO63" s="167"/>
      <c r="AP63" s="160"/>
      <c r="AQ63" s="160"/>
      <c r="AR63" s="160"/>
      <c r="AS63" s="160"/>
      <c r="AT63" s="160"/>
    </row>
    <row r="64" spans="2:46" s="99" customFormat="1" x14ac:dyDescent="0.25">
      <c r="B64" s="110" t="s">
        <v>127</v>
      </c>
      <c r="C64" s="111">
        <v>78.05</v>
      </c>
      <c r="D64" s="111">
        <v>12</v>
      </c>
      <c r="E64" s="111">
        <v>10</v>
      </c>
      <c r="F64" s="113">
        <f>$C$64*$D$64*(365/1000)*$N$13</f>
        <v>307673.09999999998</v>
      </c>
      <c r="G64" s="113">
        <f>$F$64*$E$64</f>
        <v>3076731</v>
      </c>
      <c r="H64" s="109"/>
      <c r="I64" s="110" t="s">
        <v>131</v>
      </c>
      <c r="J64" s="111">
        <v>78.05</v>
      </c>
      <c r="K64" s="111">
        <v>12</v>
      </c>
      <c r="L64" s="111">
        <v>10</v>
      </c>
      <c r="M64" s="113">
        <f>$J$64*$K$64*(365/1000)*$N$13</f>
        <v>307673.09999999998</v>
      </c>
      <c r="N64" s="113">
        <f>$M$64*$L$64</f>
        <v>3076731</v>
      </c>
      <c r="O64" s="21"/>
      <c r="P64" s="110" t="s">
        <v>135</v>
      </c>
      <c r="Q64" s="111">
        <v>41.3</v>
      </c>
      <c r="R64" s="111">
        <v>12</v>
      </c>
      <c r="S64" s="111">
        <v>10</v>
      </c>
      <c r="T64" s="113">
        <f>$Q$64*$R$64*(365/1000)*$N$13</f>
        <v>162804.59999999998</v>
      </c>
      <c r="U64" s="113">
        <f>$T$64*$S$64</f>
        <v>1628045.9999999998</v>
      </c>
      <c r="W64" s="160"/>
      <c r="X64" s="160"/>
      <c r="Y64" s="167"/>
      <c r="Z64" s="167"/>
      <c r="AA64" s="167"/>
      <c r="AB64" s="167"/>
      <c r="AC64" s="167"/>
      <c r="AD64" s="167"/>
      <c r="AE64" s="167"/>
      <c r="AF64" s="167"/>
      <c r="AG64" s="167"/>
      <c r="AH64" s="167"/>
      <c r="AI64" s="167"/>
      <c r="AJ64" s="167"/>
      <c r="AK64" s="167"/>
      <c r="AL64" s="167"/>
      <c r="AM64" s="167"/>
      <c r="AN64" s="167"/>
      <c r="AO64" s="167"/>
      <c r="AP64" s="160"/>
      <c r="AQ64" s="160"/>
      <c r="AR64" s="160"/>
      <c r="AS64" s="160"/>
      <c r="AT64" s="160"/>
    </row>
    <row r="65" spans="2:46" s="99" customFormat="1" x14ac:dyDescent="0.25">
      <c r="B65" s="110"/>
      <c r="C65" s="111"/>
      <c r="D65" s="111"/>
      <c r="E65" s="111"/>
      <c r="F65" s="113"/>
      <c r="G65" s="113"/>
      <c r="H65" s="109"/>
      <c r="I65" s="110"/>
      <c r="J65" s="111"/>
      <c r="K65" s="111"/>
      <c r="L65" s="111"/>
      <c r="M65" s="113"/>
      <c r="N65" s="113"/>
      <c r="O65" s="21"/>
      <c r="P65" s="110"/>
      <c r="Q65" s="111"/>
      <c r="R65" s="111"/>
      <c r="S65" s="111"/>
      <c r="T65" s="113"/>
      <c r="U65" s="113"/>
      <c r="W65" s="160"/>
      <c r="X65" s="160"/>
      <c r="Y65" s="167"/>
      <c r="Z65" s="167"/>
      <c r="AA65" s="167"/>
      <c r="AB65" s="167"/>
      <c r="AC65" s="167"/>
      <c r="AD65" s="167"/>
      <c r="AE65" s="167"/>
      <c r="AF65" s="167"/>
      <c r="AG65" s="167"/>
      <c r="AH65" s="167"/>
      <c r="AI65" s="167"/>
      <c r="AJ65" s="167"/>
      <c r="AK65" s="167"/>
      <c r="AL65" s="167"/>
      <c r="AM65" s="167"/>
      <c r="AN65" s="167"/>
      <c r="AO65" s="167"/>
      <c r="AP65" s="160"/>
      <c r="AQ65" s="160"/>
      <c r="AR65" s="160"/>
      <c r="AS65" s="160"/>
      <c r="AT65" s="160"/>
    </row>
    <row r="66" spans="2:46" s="99" customFormat="1" x14ac:dyDescent="0.25">
      <c r="B66" s="249" t="s">
        <v>202</v>
      </c>
      <c r="C66" s="250"/>
      <c r="D66" s="250"/>
      <c r="E66" s="250"/>
      <c r="F66" s="250"/>
      <c r="G66" s="129">
        <f>SUM($G$64:$G$65)</f>
        <v>3076731</v>
      </c>
      <c r="H66" s="115"/>
      <c r="I66" s="242" t="s">
        <v>202</v>
      </c>
      <c r="J66" s="243"/>
      <c r="K66" s="243"/>
      <c r="L66" s="243"/>
      <c r="M66" s="243"/>
      <c r="N66" s="116">
        <f>SUM($N$64:$N$65)</f>
        <v>3076731</v>
      </c>
      <c r="O66" s="115"/>
      <c r="P66" s="217" t="s">
        <v>202</v>
      </c>
      <c r="Q66" s="218"/>
      <c r="R66" s="218"/>
      <c r="S66" s="218"/>
      <c r="T66" s="218"/>
      <c r="U66" s="117">
        <f>SUM($U$64:$U$65)</f>
        <v>1628045.9999999998</v>
      </c>
      <c r="W66" s="160"/>
      <c r="X66" s="160"/>
      <c r="Y66" s="167"/>
      <c r="Z66" s="167"/>
      <c r="AA66" s="167"/>
      <c r="AB66" s="167"/>
      <c r="AC66" s="167"/>
      <c r="AD66" s="167"/>
      <c r="AE66" s="167"/>
      <c r="AF66" s="167"/>
      <c r="AG66" s="167"/>
      <c r="AH66" s="167"/>
      <c r="AI66" s="167"/>
      <c r="AJ66" s="167"/>
      <c r="AK66" s="167"/>
      <c r="AL66" s="167"/>
      <c r="AM66" s="167"/>
      <c r="AN66" s="167"/>
      <c r="AO66" s="167"/>
      <c r="AP66" s="160"/>
      <c r="AQ66" s="160"/>
      <c r="AR66" s="160"/>
      <c r="AS66" s="160"/>
      <c r="AT66" s="160"/>
    </row>
    <row r="67" spans="2:46" s="99" customFormat="1" ht="8.1" customHeight="1" x14ac:dyDescent="0.25">
      <c r="B67" s="103"/>
      <c r="C67" s="103"/>
      <c r="D67" s="103"/>
      <c r="E67" s="103"/>
      <c r="F67" s="103"/>
      <c r="G67" s="103"/>
      <c r="H67" s="103"/>
      <c r="I67" s="103"/>
      <c r="J67" s="103"/>
      <c r="K67" s="103"/>
      <c r="L67" s="103"/>
      <c r="M67" s="103"/>
      <c r="N67" s="103"/>
      <c r="O67" s="103"/>
      <c r="P67" s="103"/>
      <c r="Q67" s="103"/>
      <c r="R67" s="103"/>
      <c r="S67" s="103"/>
      <c r="T67" s="103"/>
      <c r="U67" s="103"/>
      <c r="W67" s="160"/>
      <c r="X67" s="160"/>
      <c r="Y67" s="167"/>
      <c r="Z67" s="167"/>
      <c r="AA67" s="167"/>
      <c r="AB67" s="167"/>
      <c r="AC67" s="167"/>
      <c r="AD67" s="167"/>
      <c r="AE67" s="167"/>
      <c r="AF67" s="167"/>
      <c r="AG67" s="167"/>
      <c r="AH67" s="167"/>
      <c r="AI67" s="167"/>
      <c r="AJ67" s="167"/>
      <c r="AK67" s="167"/>
      <c r="AL67" s="167"/>
      <c r="AM67" s="167"/>
      <c r="AN67" s="167"/>
      <c r="AO67" s="167"/>
      <c r="AP67" s="160"/>
      <c r="AQ67" s="160"/>
      <c r="AR67" s="160"/>
      <c r="AS67" s="160"/>
      <c r="AT67" s="160"/>
    </row>
    <row r="68" spans="2:46" s="126" customFormat="1" ht="14.25" customHeight="1" x14ac:dyDescent="0.25">
      <c r="B68" s="249" t="s">
        <v>109</v>
      </c>
      <c r="C68" s="250"/>
      <c r="D68" s="250"/>
      <c r="E68" s="250"/>
      <c r="F68" s="250"/>
      <c r="G68" s="130">
        <f>SUMPRODUCT($C$64:$C$65,$E$64:$E$65)/1000</f>
        <v>0.78049999999999997</v>
      </c>
      <c r="H68" s="127"/>
      <c r="I68" s="242" t="s">
        <v>109</v>
      </c>
      <c r="J68" s="243"/>
      <c r="K68" s="243"/>
      <c r="L68" s="243"/>
      <c r="M68" s="243"/>
      <c r="N68" s="131">
        <f>SUMPRODUCT($J$64:$J$65,$L$64:$L$65)/1000</f>
        <v>0.78049999999999997</v>
      </c>
      <c r="O68" s="127"/>
      <c r="P68" s="217" t="s">
        <v>109</v>
      </c>
      <c r="Q68" s="218"/>
      <c r="R68" s="218"/>
      <c r="S68" s="218"/>
      <c r="T68" s="218"/>
      <c r="U68" s="132">
        <f>SUMPRODUCT($Q$64:$Q$65,$S$64:$S$65)/1000</f>
        <v>0.41299999999999998</v>
      </c>
      <c r="W68" s="162"/>
      <c r="X68" s="162"/>
      <c r="Y68" s="168"/>
      <c r="Z68" s="168"/>
      <c r="AA68" s="168"/>
      <c r="AB68" s="168"/>
      <c r="AC68" s="168"/>
      <c r="AD68" s="168"/>
      <c r="AE68" s="168"/>
      <c r="AF68" s="168"/>
      <c r="AG68" s="168"/>
      <c r="AH68" s="168"/>
      <c r="AI68" s="168"/>
      <c r="AJ68" s="168"/>
      <c r="AK68" s="168"/>
      <c r="AL68" s="168"/>
      <c r="AM68" s="168"/>
      <c r="AN68" s="168"/>
      <c r="AO68" s="168"/>
      <c r="AP68" s="162"/>
      <c r="AQ68" s="162"/>
      <c r="AR68" s="162"/>
      <c r="AS68" s="162"/>
      <c r="AT68" s="162"/>
    </row>
    <row r="69" spans="2:46" s="126" customFormat="1" ht="14.25" customHeight="1" x14ac:dyDescent="0.25">
      <c r="B69" s="249" t="s">
        <v>111</v>
      </c>
      <c r="C69" s="250"/>
      <c r="D69" s="250"/>
      <c r="E69" s="250"/>
      <c r="F69" s="250"/>
      <c r="G69" s="130">
        <f>SUMPRODUCT($C$64:$C$65,$D$64:$D$65,$E$64:$E$65)*365/1000</f>
        <v>3418.59</v>
      </c>
      <c r="H69" s="127"/>
      <c r="I69" s="242" t="s">
        <v>111</v>
      </c>
      <c r="J69" s="243"/>
      <c r="K69" s="243"/>
      <c r="L69" s="243"/>
      <c r="M69" s="243"/>
      <c r="N69" s="131">
        <f>SUMPRODUCT($J$64:$J$65,$K$64:$K$65,$L$64:$L$65)*365/1000</f>
        <v>3418.59</v>
      </c>
      <c r="O69" s="127"/>
      <c r="P69" s="217" t="s">
        <v>111</v>
      </c>
      <c r="Q69" s="218"/>
      <c r="R69" s="218"/>
      <c r="S69" s="218"/>
      <c r="T69" s="218"/>
      <c r="U69" s="132">
        <f>SUMPRODUCT($Q$64:$Q$65,$R$64:$R$65,$S$64:$S$65)*365/1000</f>
        <v>1808.94</v>
      </c>
      <c r="W69" s="162"/>
      <c r="X69" s="162"/>
      <c r="Y69" s="168"/>
      <c r="Z69" s="168"/>
      <c r="AA69" s="168"/>
      <c r="AB69" s="168"/>
      <c r="AC69" s="168"/>
      <c r="AD69" s="168"/>
      <c r="AE69" s="168"/>
      <c r="AF69" s="168"/>
      <c r="AG69" s="168"/>
      <c r="AH69" s="168"/>
      <c r="AI69" s="168"/>
      <c r="AJ69" s="168"/>
      <c r="AK69" s="168"/>
      <c r="AL69" s="168"/>
      <c r="AM69" s="168"/>
      <c r="AN69" s="168"/>
      <c r="AO69" s="168"/>
      <c r="AP69" s="162"/>
      <c r="AQ69" s="162"/>
      <c r="AR69" s="162"/>
      <c r="AS69" s="162"/>
      <c r="AT69" s="162"/>
    </row>
    <row r="70" spans="2:46" s="99" customFormat="1" ht="8.1" customHeight="1" x14ac:dyDescent="0.25">
      <c r="B70" s="103"/>
      <c r="C70" s="103"/>
      <c r="D70" s="103"/>
      <c r="E70" s="103"/>
      <c r="F70" s="103"/>
      <c r="G70" s="103"/>
      <c r="H70" s="103"/>
      <c r="I70" s="103"/>
      <c r="J70" s="103"/>
      <c r="K70" s="103"/>
      <c r="L70" s="103"/>
      <c r="M70" s="103"/>
      <c r="N70" s="103"/>
      <c r="O70" s="103"/>
      <c r="P70" s="103"/>
      <c r="Q70" s="103"/>
      <c r="R70" s="103"/>
      <c r="S70" s="103"/>
      <c r="T70" s="103"/>
      <c r="U70" s="103"/>
      <c r="W70" s="160"/>
      <c r="X70" s="160"/>
      <c r="Y70" s="167"/>
      <c r="Z70" s="167"/>
      <c r="AA70" s="167"/>
      <c r="AB70" s="167"/>
      <c r="AC70" s="167"/>
      <c r="AD70" s="167"/>
      <c r="AE70" s="167"/>
      <c r="AF70" s="167"/>
      <c r="AG70" s="167"/>
      <c r="AH70" s="167"/>
      <c r="AI70" s="167"/>
      <c r="AJ70" s="167"/>
      <c r="AK70" s="167"/>
      <c r="AL70" s="167"/>
      <c r="AM70" s="167"/>
      <c r="AN70" s="167"/>
      <c r="AO70" s="167"/>
      <c r="AP70" s="160"/>
      <c r="AQ70" s="160"/>
      <c r="AR70" s="160"/>
      <c r="AS70" s="160"/>
      <c r="AT70" s="160"/>
    </row>
    <row r="71" spans="2:46" s="126" customFormat="1" ht="21" customHeight="1" x14ac:dyDescent="0.25">
      <c r="B71" s="265" t="s">
        <v>69</v>
      </c>
      <c r="C71" s="266"/>
      <c r="D71" s="266"/>
      <c r="E71" s="266"/>
      <c r="F71" s="266"/>
      <c r="G71" s="59">
        <f>+G48+G54+G60+G66</f>
        <v>13900717.666666668</v>
      </c>
      <c r="H71" s="127"/>
      <c r="I71" s="267" t="s">
        <v>70</v>
      </c>
      <c r="J71" s="268"/>
      <c r="K71" s="268"/>
      <c r="L71" s="268"/>
      <c r="M71" s="268"/>
      <c r="N71" s="60">
        <f>+N66+N60+N54+N48</f>
        <v>13491864.333333336</v>
      </c>
      <c r="O71" s="127"/>
      <c r="P71" s="269" t="s">
        <v>71</v>
      </c>
      <c r="Q71" s="270"/>
      <c r="R71" s="270"/>
      <c r="S71" s="270"/>
      <c r="T71" s="270"/>
      <c r="U71" s="58">
        <f>+U66+U60+U54+U48</f>
        <v>1628045.9999999998</v>
      </c>
      <c r="W71" s="162"/>
      <c r="X71" s="162"/>
      <c r="Y71" s="168"/>
      <c r="Z71" s="168"/>
      <c r="AA71" s="168"/>
      <c r="AB71" s="168"/>
      <c r="AC71" s="168"/>
      <c r="AD71" s="168"/>
      <c r="AE71" s="168"/>
      <c r="AF71" s="168"/>
      <c r="AG71" s="168"/>
      <c r="AH71" s="168"/>
      <c r="AI71" s="168"/>
      <c r="AJ71" s="168"/>
      <c r="AK71" s="168"/>
      <c r="AL71" s="168"/>
      <c r="AM71" s="168"/>
      <c r="AN71" s="168"/>
      <c r="AO71" s="168"/>
      <c r="AP71" s="162"/>
      <c r="AQ71" s="162"/>
      <c r="AR71" s="162"/>
      <c r="AS71" s="162"/>
      <c r="AT71" s="162"/>
    </row>
    <row r="72" spans="2:46" s="99" customFormat="1" x14ac:dyDescent="0.25">
      <c r="B72" s="103"/>
      <c r="C72" s="103"/>
      <c r="D72" s="103"/>
      <c r="E72" s="103"/>
      <c r="F72" s="103"/>
      <c r="G72" s="103"/>
      <c r="H72" s="103"/>
      <c r="I72" s="103"/>
      <c r="J72" s="103"/>
      <c r="K72" s="103"/>
      <c r="L72" s="103"/>
      <c r="M72" s="103"/>
      <c r="N72" s="103"/>
      <c r="O72" s="103"/>
      <c r="P72" s="103"/>
      <c r="Q72" s="103"/>
      <c r="R72" s="103"/>
      <c r="S72" s="103"/>
      <c r="T72" s="103"/>
      <c r="U72" s="103"/>
      <c r="W72" s="160"/>
      <c r="X72" s="160"/>
      <c r="Y72" s="167"/>
      <c r="Z72" s="167"/>
      <c r="AA72" s="167"/>
      <c r="AB72" s="167"/>
      <c r="AC72" s="167"/>
      <c r="AD72" s="167"/>
      <c r="AE72" s="167"/>
      <c r="AF72" s="167"/>
      <c r="AG72" s="167"/>
      <c r="AH72" s="167"/>
      <c r="AI72" s="167"/>
      <c r="AJ72" s="167"/>
      <c r="AK72" s="167"/>
      <c r="AL72" s="167"/>
      <c r="AM72" s="167"/>
      <c r="AN72" s="167"/>
      <c r="AO72" s="167"/>
      <c r="AP72" s="160"/>
      <c r="AQ72" s="160"/>
      <c r="AR72" s="160"/>
      <c r="AS72" s="160"/>
      <c r="AT72" s="160"/>
    </row>
    <row r="73" spans="2:46" s="99" customFormat="1" x14ac:dyDescent="0.25">
      <c r="B73" s="103"/>
      <c r="C73" s="103"/>
      <c r="D73" s="103"/>
      <c r="E73" s="103"/>
      <c r="F73" s="103"/>
      <c r="G73" s="103"/>
      <c r="H73" s="103"/>
      <c r="I73" s="103"/>
      <c r="J73" s="103"/>
      <c r="K73" s="103"/>
      <c r="L73" s="103"/>
      <c r="M73" s="103"/>
      <c r="N73" s="103"/>
      <c r="O73" s="103"/>
      <c r="P73" s="103"/>
      <c r="Q73" s="103"/>
      <c r="R73" s="103"/>
      <c r="S73" s="103"/>
      <c r="T73" s="103"/>
      <c r="U73" s="103"/>
      <c r="W73" s="160"/>
      <c r="X73" s="160"/>
      <c r="Y73" s="167"/>
      <c r="Z73" s="167"/>
      <c r="AA73" s="167"/>
      <c r="AB73" s="167"/>
      <c r="AC73" s="167"/>
      <c r="AD73" s="167"/>
      <c r="AE73" s="167"/>
      <c r="AF73" s="167"/>
      <c r="AG73" s="167"/>
      <c r="AH73" s="167"/>
      <c r="AI73" s="167"/>
      <c r="AJ73" s="167"/>
      <c r="AK73" s="167"/>
      <c r="AL73" s="167"/>
      <c r="AM73" s="167"/>
      <c r="AN73" s="167"/>
      <c r="AO73" s="167"/>
      <c r="AP73" s="160"/>
      <c r="AQ73" s="160"/>
      <c r="AR73" s="160"/>
      <c r="AS73" s="160"/>
      <c r="AT73" s="160"/>
    </row>
    <row r="74" spans="2:46" s="99" customFormat="1" x14ac:dyDescent="0.25">
      <c r="B74" s="103"/>
      <c r="C74" s="103"/>
      <c r="D74" s="103"/>
      <c r="E74" s="103"/>
      <c r="F74" s="103"/>
      <c r="G74" s="103"/>
      <c r="H74" s="103"/>
      <c r="I74" s="103"/>
      <c r="J74" s="103"/>
      <c r="K74" s="103"/>
      <c r="L74" s="103"/>
      <c r="M74" s="103"/>
      <c r="N74" s="103"/>
      <c r="O74" s="103"/>
      <c r="P74" s="103"/>
      <c r="Q74" s="103"/>
      <c r="R74" s="103"/>
      <c r="S74" s="103"/>
      <c r="T74" s="103"/>
      <c r="U74" s="103"/>
      <c r="W74" s="160"/>
      <c r="X74" s="160"/>
      <c r="Y74" s="167"/>
      <c r="Z74" s="167"/>
      <c r="AA74" s="167"/>
      <c r="AB74" s="167"/>
      <c r="AC74" s="167"/>
      <c r="AD74" s="167"/>
      <c r="AE74" s="167"/>
      <c r="AF74" s="167"/>
      <c r="AG74" s="167"/>
      <c r="AH74" s="167"/>
      <c r="AI74" s="167"/>
      <c r="AJ74" s="167"/>
      <c r="AK74" s="167"/>
      <c r="AL74" s="167"/>
      <c r="AM74" s="167"/>
      <c r="AN74" s="167"/>
      <c r="AO74" s="167"/>
      <c r="AP74" s="160"/>
      <c r="AQ74" s="160"/>
      <c r="AR74" s="160"/>
      <c r="AS74" s="160"/>
      <c r="AT74" s="160"/>
    </row>
    <row r="75" spans="2:46" s="99" customFormat="1" x14ac:dyDescent="0.25">
      <c r="W75" s="160"/>
      <c r="X75" s="160"/>
      <c r="Y75" s="167"/>
      <c r="Z75" s="167"/>
      <c r="AA75" s="167"/>
      <c r="AB75" s="167"/>
      <c r="AC75" s="167"/>
      <c r="AD75" s="167"/>
      <c r="AE75" s="167"/>
      <c r="AF75" s="167"/>
      <c r="AG75" s="167"/>
      <c r="AH75" s="167"/>
      <c r="AI75" s="167"/>
      <c r="AJ75" s="167"/>
      <c r="AK75" s="167"/>
      <c r="AL75" s="167"/>
      <c r="AM75" s="167"/>
      <c r="AN75" s="167"/>
      <c r="AO75" s="167"/>
      <c r="AP75" s="160"/>
      <c r="AQ75" s="160"/>
      <c r="AR75" s="160"/>
      <c r="AS75" s="160"/>
      <c r="AT75" s="160"/>
    </row>
    <row r="76" spans="2:46" s="99" customFormat="1" x14ac:dyDescent="0.25">
      <c r="W76" s="160"/>
      <c r="X76" s="160"/>
      <c r="Y76" s="167"/>
      <c r="Z76" s="167"/>
      <c r="AA76" s="167"/>
      <c r="AB76" s="167"/>
      <c r="AC76" s="167"/>
      <c r="AD76" s="167"/>
      <c r="AE76" s="167"/>
      <c r="AF76" s="167"/>
      <c r="AG76" s="167"/>
      <c r="AH76" s="167"/>
      <c r="AI76" s="167"/>
      <c r="AJ76" s="167"/>
      <c r="AK76" s="167"/>
      <c r="AL76" s="167"/>
      <c r="AM76" s="167"/>
      <c r="AN76" s="167"/>
      <c r="AO76" s="167"/>
      <c r="AP76" s="160"/>
      <c r="AQ76" s="160"/>
      <c r="AR76" s="160"/>
      <c r="AS76" s="160"/>
      <c r="AT76" s="160"/>
    </row>
    <row r="77" spans="2:46" s="99" customFormat="1" x14ac:dyDescent="0.25">
      <c r="W77" s="160"/>
      <c r="X77" s="160"/>
      <c r="Y77" s="167"/>
      <c r="Z77" s="167"/>
      <c r="AA77" s="167"/>
      <c r="AB77" s="167"/>
      <c r="AC77" s="167"/>
      <c r="AD77" s="167"/>
      <c r="AE77" s="167"/>
      <c r="AF77" s="167"/>
      <c r="AG77" s="167"/>
      <c r="AH77" s="167"/>
      <c r="AI77" s="167"/>
      <c r="AJ77" s="167"/>
      <c r="AK77" s="167"/>
      <c r="AL77" s="167"/>
      <c r="AM77" s="167"/>
      <c r="AN77" s="167"/>
      <c r="AO77" s="167"/>
      <c r="AP77" s="160"/>
      <c r="AQ77" s="160"/>
      <c r="AR77" s="160"/>
      <c r="AS77" s="160"/>
      <c r="AT77" s="160"/>
    </row>
    <row r="78" spans="2:46" s="99" customFormat="1" x14ac:dyDescent="0.25">
      <c r="W78" s="160"/>
      <c r="X78" s="160"/>
      <c r="Y78" s="167"/>
      <c r="Z78" s="167"/>
      <c r="AA78" s="167"/>
      <c r="AB78" s="167"/>
      <c r="AC78" s="167"/>
      <c r="AD78" s="167"/>
      <c r="AE78" s="167"/>
      <c r="AF78" s="167"/>
      <c r="AG78" s="167"/>
      <c r="AH78" s="167"/>
      <c r="AI78" s="167"/>
      <c r="AJ78" s="167"/>
      <c r="AK78" s="167"/>
      <c r="AL78" s="167"/>
      <c r="AM78" s="167"/>
      <c r="AN78" s="167"/>
      <c r="AO78" s="167"/>
      <c r="AP78" s="160"/>
      <c r="AQ78" s="160"/>
      <c r="AR78" s="160"/>
      <c r="AS78" s="160"/>
      <c r="AT78" s="160"/>
    </row>
    <row r="79" spans="2:46" s="99" customFormat="1" x14ac:dyDescent="0.25">
      <c r="W79" s="160"/>
      <c r="X79" s="160"/>
      <c r="Y79" s="167"/>
      <c r="Z79" s="167"/>
      <c r="AA79" s="167"/>
      <c r="AB79" s="167"/>
      <c r="AC79" s="167"/>
      <c r="AD79" s="167"/>
      <c r="AE79" s="167"/>
      <c r="AF79" s="167"/>
      <c r="AG79" s="167"/>
      <c r="AH79" s="167"/>
      <c r="AI79" s="167"/>
      <c r="AJ79" s="167"/>
      <c r="AK79" s="167"/>
      <c r="AL79" s="167"/>
      <c r="AM79" s="167"/>
      <c r="AN79" s="167"/>
      <c r="AO79" s="167"/>
      <c r="AP79" s="160"/>
      <c r="AQ79" s="160"/>
      <c r="AR79" s="160"/>
      <c r="AS79" s="160"/>
      <c r="AT79" s="160"/>
    </row>
    <row r="80" spans="2:46" s="99" customFormat="1" x14ac:dyDescent="0.25">
      <c r="W80" s="160"/>
      <c r="X80" s="160"/>
      <c r="Y80" s="167"/>
      <c r="Z80" s="167"/>
      <c r="AA80" s="167"/>
      <c r="AB80" s="167"/>
      <c r="AC80" s="167"/>
      <c r="AD80" s="167"/>
      <c r="AE80" s="167"/>
      <c r="AF80" s="167"/>
      <c r="AG80" s="167"/>
      <c r="AH80" s="167"/>
      <c r="AI80" s="167"/>
      <c r="AJ80" s="167"/>
      <c r="AK80" s="167"/>
      <c r="AL80" s="167"/>
      <c r="AM80" s="167"/>
      <c r="AN80" s="167"/>
      <c r="AO80" s="167"/>
      <c r="AP80" s="160"/>
      <c r="AQ80" s="160"/>
      <c r="AR80" s="160"/>
      <c r="AS80" s="160"/>
      <c r="AT80" s="160"/>
    </row>
    <row r="81" spans="23:46" s="99" customFormat="1" x14ac:dyDescent="0.25">
      <c r="W81" s="160"/>
      <c r="X81" s="160"/>
      <c r="Y81" s="167"/>
      <c r="Z81" s="167"/>
      <c r="AA81" s="167"/>
      <c r="AB81" s="167"/>
      <c r="AC81" s="167"/>
      <c r="AD81" s="167"/>
      <c r="AE81" s="167"/>
      <c r="AF81" s="167"/>
      <c r="AG81" s="167"/>
      <c r="AH81" s="167"/>
      <c r="AI81" s="167"/>
      <c r="AJ81" s="167"/>
      <c r="AK81" s="167"/>
      <c r="AL81" s="167"/>
      <c r="AM81" s="167"/>
      <c r="AN81" s="167"/>
      <c r="AO81" s="167"/>
      <c r="AP81" s="160"/>
      <c r="AQ81" s="160"/>
      <c r="AR81" s="160"/>
      <c r="AS81" s="160"/>
      <c r="AT81" s="160"/>
    </row>
    <row r="82" spans="23:46" s="99" customFormat="1" x14ac:dyDescent="0.25">
      <c r="W82" s="160"/>
      <c r="X82" s="160"/>
      <c r="Y82" s="167"/>
      <c r="Z82" s="167"/>
      <c r="AA82" s="167"/>
      <c r="AB82" s="167"/>
      <c r="AC82" s="167"/>
      <c r="AD82" s="167"/>
      <c r="AE82" s="167"/>
      <c r="AF82" s="167"/>
      <c r="AG82" s="167"/>
      <c r="AH82" s="167"/>
      <c r="AI82" s="167"/>
      <c r="AJ82" s="167"/>
      <c r="AK82" s="167"/>
      <c r="AL82" s="167"/>
      <c r="AM82" s="167"/>
      <c r="AN82" s="167"/>
      <c r="AO82" s="167"/>
      <c r="AP82" s="160"/>
      <c r="AQ82" s="160"/>
      <c r="AR82" s="160"/>
      <c r="AS82" s="160"/>
      <c r="AT82" s="160"/>
    </row>
    <row r="83" spans="23:46" s="99" customFormat="1" x14ac:dyDescent="0.25">
      <c r="W83" s="160"/>
      <c r="X83" s="160"/>
      <c r="Y83" s="167"/>
      <c r="Z83" s="167"/>
      <c r="AA83" s="167"/>
      <c r="AB83" s="167"/>
      <c r="AC83" s="167"/>
      <c r="AD83" s="167"/>
      <c r="AE83" s="167"/>
      <c r="AF83" s="167"/>
      <c r="AG83" s="167"/>
      <c r="AH83" s="167"/>
      <c r="AI83" s="167"/>
      <c r="AJ83" s="167"/>
      <c r="AK83" s="167"/>
      <c r="AL83" s="167"/>
      <c r="AM83" s="167"/>
      <c r="AN83" s="167"/>
      <c r="AO83" s="167"/>
      <c r="AP83" s="160"/>
      <c r="AQ83" s="160"/>
      <c r="AR83" s="160"/>
      <c r="AS83" s="160"/>
      <c r="AT83" s="160"/>
    </row>
    <row r="84" spans="23:46" s="99" customFormat="1" x14ac:dyDescent="0.25">
      <c r="W84" s="160"/>
      <c r="X84" s="160"/>
      <c r="Y84" s="167"/>
      <c r="Z84" s="167"/>
      <c r="AA84" s="167"/>
      <c r="AB84" s="167"/>
      <c r="AC84" s="167"/>
      <c r="AD84" s="167"/>
      <c r="AE84" s="167"/>
      <c r="AF84" s="167"/>
      <c r="AG84" s="167"/>
      <c r="AH84" s="167"/>
      <c r="AI84" s="167"/>
      <c r="AJ84" s="167"/>
      <c r="AK84" s="167"/>
      <c r="AL84" s="167"/>
      <c r="AM84" s="167"/>
      <c r="AN84" s="167"/>
      <c r="AO84" s="167"/>
      <c r="AP84" s="160"/>
      <c r="AQ84" s="160"/>
      <c r="AR84" s="160"/>
      <c r="AS84" s="160"/>
      <c r="AT84" s="160"/>
    </row>
    <row r="85" spans="23:46" s="99" customFormat="1" x14ac:dyDescent="0.25">
      <c r="W85" s="160"/>
      <c r="X85" s="160"/>
      <c r="Y85" s="167"/>
      <c r="Z85" s="167"/>
      <c r="AA85" s="167"/>
      <c r="AB85" s="167"/>
      <c r="AC85" s="167"/>
      <c r="AD85" s="167"/>
      <c r="AE85" s="167"/>
      <c r="AF85" s="167"/>
      <c r="AG85" s="167"/>
      <c r="AH85" s="167"/>
      <c r="AI85" s="167"/>
      <c r="AJ85" s="167"/>
      <c r="AK85" s="167"/>
      <c r="AL85" s="167"/>
      <c r="AM85" s="167"/>
      <c r="AN85" s="167"/>
      <c r="AO85" s="167"/>
      <c r="AP85" s="160"/>
      <c r="AQ85" s="160"/>
      <c r="AR85" s="160"/>
      <c r="AS85" s="160"/>
      <c r="AT85" s="160"/>
    </row>
    <row r="86" spans="23:46" s="99" customFormat="1" x14ac:dyDescent="0.25">
      <c r="W86" s="160"/>
      <c r="X86" s="160"/>
      <c r="Y86" s="167"/>
      <c r="Z86" s="167"/>
      <c r="AA86" s="167"/>
      <c r="AB86" s="167"/>
      <c r="AC86" s="167"/>
      <c r="AD86" s="167"/>
      <c r="AE86" s="167"/>
      <c r="AF86" s="167"/>
      <c r="AG86" s="167"/>
      <c r="AH86" s="167"/>
      <c r="AI86" s="167"/>
      <c r="AJ86" s="167"/>
      <c r="AK86" s="167"/>
      <c r="AL86" s="167"/>
      <c r="AM86" s="167"/>
      <c r="AN86" s="167"/>
      <c r="AO86" s="167"/>
      <c r="AP86" s="160"/>
      <c r="AQ86" s="160"/>
      <c r="AR86" s="160"/>
      <c r="AS86" s="160"/>
      <c r="AT86" s="160"/>
    </row>
    <row r="87" spans="23:46" s="99" customFormat="1" x14ac:dyDescent="0.25">
      <c r="W87" s="160"/>
      <c r="X87" s="160"/>
      <c r="Y87" s="167"/>
      <c r="Z87" s="167"/>
      <c r="AA87" s="167"/>
      <c r="AB87" s="167"/>
      <c r="AC87" s="167"/>
      <c r="AD87" s="167"/>
      <c r="AE87" s="167"/>
      <c r="AF87" s="167"/>
      <c r="AG87" s="167"/>
      <c r="AH87" s="167"/>
      <c r="AI87" s="167"/>
      <c r="AJ87" s="167"/>
      <c r="AK87" s="167"/>
      <c r="AL87" s="167"/>
      <c r="AM87" s="167"/>
      <c r="AN87" s="167"/>
      <c r="AO87" s="167"/>
      <c r="AP87" s="160"/>
      <c r="AQ87" s="160"/>
      <c r="AR87" s="160"/>
      <c r="AS87" s="160"/>
      <c r="AT87" s="160"/>
    </row>
    <row r="88" spans="23:46" s="99" customFormat="1" x14ac:dyDescent="0.25">
      <c r="W88" s="160"/>
      <c r="X88" s="160"/>
      <c r="Y88" s="167"/>
      <c r="Z88" s="167"/>
      <c r="AA88" s="167"/>
      <c r="AB88" s="167"/>
      <c r="AC88" s="167"/>
      <c r="AD88" s="167"/>
      <c r="AE88" s="167"/>
      <c r="AF88" s="167"/>
      <c r="AG88" s="167"/>
      <c r="AH88" s="167"/>
      <c r="AI88" s="167"/>
      <c r="AJ88" s="167"/>
      <c r="AK88" s="167"/>
      <c r="AL88" s="167"/>
      <c r="AM88" s="167"/>
      <c r="AN88" s="167"/>
      <c r="AO88" s="167"/>
      <c r="AP88" s="160"/>
      <c r="AQ88" s="160"/>
      <c r="AR88" s="160"/>
      <c r="AS88" s="160"/>
      <c r="AT88" s="160"/>
    </row>
    <row r="89" spans="23:46" s="99" customFormat="1" x14ac:dyDescent="0.25">
      <c r="W89" s="160"/>
      <c r="X89" s="160"/>
      <c r="Y89" s="167"/>
      <c r="Z89" s="167"/>
      <c r="AA89" s="167"/>
      <c r="AB89" s="167"/>
      <c r="AC89" s="167"/>
      <c r="AD89" s="167"/>
      <c r="AE89" s="167"/>
      <c r="AF89" s="167"/>
      <c r="AG89" s="167"/>
      <c r="AH89" s="167"/>
      <c r="AI89" s="167"/>
      <c r="AJ89" s="167"/>
      <c r="AK89" s="167"/>
      <c r="AL89" s="167"/>
      <c r="AM89" s="167"/>
      <c r="AN89" s="167"/>
      <c r="AO89" s="167"/>
      <c r="AP89" s="160"/>
      <c r="AQ89" s="160"/>
      <c r="AR89" s="160"/>
      <c r="AS89" s="160"/>
      <c r="AT89" s="160"/>
    </row>
    <row r="90" spans="23:46" s="99" customFormat="1" x14ac:dyDescent="0.25">
      <c r="W90" s="160"/>
      <c r="X90" s="160"/>
      <c r="Y90" s="167"/>
      <c r="Z90" s="167"/>
      <c r="AA90" s="167"/>
      <c r="AB90" s="167"/>
      <c r="AC90" s="167"/>
      <c r="AD90" s="167"/>
      <c r="AE90" s="167"/>
      <c r="AF90" s="167"/>
      <c r="AG90" s="167"/>
      <c r="AH90" s="167"/>
      <c r="AI90" s="167"/>
      <c r="AJ90" s="167"/>
      <c r="AK90" s="167"/>
      <c r="AL90" s="167"/>
      <c r="AM90" s="167"/>
      <c r="AN90" s="167"/>
      <c r="AO90" s="167"/>
      <c r="AP90" s="160"/>
      <c r="AQ90" s="160"/>
      <c r="AR90" s="160"/>
      <c r="AS90" s="160"/>
      <c r="AT90" s="160"/>
    </row>
    <row r="91" spans="23:46" s="99" customFormat="1" x14ac:dyDescent="0.25">
      <c r="W91" s="160"/>
      <c r="X91" s="160"/>
      <c r="Y91" s="167"/>
      <c r="Z91" s="167"/>
      <c r="AA91" s="167"/>
      <c r="AB91" s="167"/>
      <c r="AC91" s="167"/>
      <c r="AD91" s="167"/>
      <c r="AE91" s="167"/>
      <c r="AF91" s="167"/>
      <c r="AG91" s="167"/>
      <c r="AH91" s="167"/>
      <c r="AI91" s="167"/>
      <c r="AJ91" s="167"/>
      <c r="AK91" s="167"/>
      <c r="AL91" s="167"/>
      <c r="AM91" s="167"/>
      <c r="AN91" s="167"/>
      <c r="AO91" s="167"/>
      <c r="AP91" s="160"/>
      <c r="AQ91" s="160"/>
      <c r="AR91" s="160"/>
      <c r="AS91" s="160"/>
      <c r="AT91" s="160"/>
    </row>
    <row r="92" spans="23:46" s="99" customFormat="1" x14ac:dyDescent="0.25">
      <c r="W92" s="160"/>
      <c r="X92" s="160"/>
      <c r="Y92" s="167"/>
      <c r="Z92" s="167"/>
      <c r="AA92" s="167"/>
      <c r="AB92" s="167"/>
      <c r="AC92" s="167"/>
      <c r="AD92" s="167"/>
      <c r="AE92" s="167"/>
      <c r="AF92" s="167"/>
      <c r="AG92" s="167"/>
      <c r="AH92" s="167"/>
      <c r="AI92" s="167"/>
      <c r="AJ92" s="167"/>
      <c r="AK92" s="167"/>
      <c r="AL92" s="167"/>
      <c r="AM92" s="167"/>
      <c r="AN92" s="167"/>
      <c r="AO92" s="167"/>
      <c r="AP92" s="160"/>
      <c r="AQ92" s="160"/>
      <c r="AR92" s="160"/>
      <c r="AS92" s="160"/>
      <c r="AT92" s="160"/>
    </row>
    <row r="93" spans="23:46" s="99" customFormat="1" x14ac:dyDescent="0.25">
      <c r="W93" s="160"/>
      <c r="X93" s="160"/>
      <c r="Y93" s="167"/>
      <c r="Z93" s="167"/>
      <c r="AA93" s="167"/>
      <c r="AB93" s="167"/>
      <c r="AC93" s="167"/>
      <c r="AD93" s="167"/>
      <c r="AE93" s="167"/>
      <c r="AF93" s="167"/>
      <c r="AG93" s="167"/>
      <c r="AH93" s="167"/>
      <c r="AI93" s="167"/>
      <c r="AJ93" s="167"/>
      <c r="AK93" s="167"/>
      <c r="AL93" s="167"/>
      <c r="AM93" s="167"/>
      <c r="AN93" s="167"/>
      <c r="AO93" s="167"/>
      <c r="AP93" s="160"/>
      <c r="AQ93" s="160"/>
      <c r="AR93" s="160"/>
      <c r="AS93" s="160"/>
      <c r="AT93" s="160"/>
    </row>
    <row r="94" spans="23:46" s="99" customFormat="1" x14ac:dyDescent="0.25">
      <c r="W94" s="160"/>
      <c r="X94" s="160"/>
      <c r="Y94" s="167"/>
      <c r="Z94" s="167"/>
      <c r="AA94" s="167"/>
      <c r="AB94" s="167"/>
      <c r="AC94" s="167"/>
      <c r="AD94" s="167"/>
      <c r="AE94" s="167"/>
      <c r="AF94" s="167"/>
      <c r="AG94" s="167"/>
      <c r="AH94" s="167"/>
      <c r="AI94" s="167"/>
      <c r="AJ94" s="167"/>
      <c r="AK94" s="167"/>
      <c r="AL94" s="167"/>
      <c r="AM94" s="167"/>
      <c r="AN94" s="167"/>
      <c r="AO94" s="167"/>
      <c r="AP94" s="160"/>
      <c r="AQ94" s="160"/>
      <c r="AR94" s="160"/>
      <c r="AS94" s="160"/>
      <c r="AT94" s="160"/>
    </row>
    <row r="95" spans="23:46" s="99" customFormat="1" x14ac:dyDescent="0.25">
      <c r="W95" s="160"/>
      <c r="X95" s="160"/>
      <c r="Y95" s="167"/>
      <c r="Z95" s="167"/>
      <c r="AA95" s="167"/>
      <c r="AB95" s="167"/>
      <c r="AC95" s="167"/>
      <c r="AD95" s="167"/>
      <c r="AE95" s="167"/>
      <c r="AF95" s="167"/>
      <c r="AG95" s="167"/>
      <c r="AH95" s="167"/>
      <c r="AI95" s="167"/>
      <c r="AJ95" s="167"/>
      <c r="AK95" s="167"/>
      <c r="AL95" s="167"/>
      <c r="AM95" s="167"/>
      <c r="AN95" s="167"/>
      <c r="AO95" s="167"/>
      <c r="AP95" s="160"/>
      <c r="AQ95" s="160"/>
      <c r="AR95" s="160"/>
      <c r="AS95" s="160"/>
      <c r="AT95" s="160"/>
    </row>
    <row r="96" spans="23:46" s="99" customFormat="1" x14ac:dyDescent="0.25">
      <c r="W96" s="160"/>
      <c r="X96" s="160"/>
      <c r="Y96" s="167"/>
      <c r="Z96" s="167"/>
      <c r="AA96" s="167"/>
      <c r="AB96" s="167"/>
      <c r="AC96" s="167"/>
      <c r="AD96" s="167"/>
      <c r="AE96" s="167"/>
      <c r="AF96" s="167"/>
      <c r="AG96" s="167"/>
      <c r="AH96" s="167"/>
      <c r="AI96" s="167"/>
      <c r="AJ96" s="167"/>
      <c r="AK96" s="167"/>
      <c r="AL96" s="167"/>
      <c r="AM96" s="167"/>
      <c r="AN96" s="167"/>
      <c r="AO96" s="167"/>
      <c r="AP96" s="160"/>
      <c r="AQ96" s="160"/>
      <c r="AR96" s="160"/>
      <c r="AS96" s="160"/>
      <c r="AT96" s="160"/>
    </row>
    <row r="97" spans="23:46" s="99" customFormat="1" x14ac:dyDescent="0.25">
      <c r="W97" s="160"/>
      <c r="X97" s="160"/>
      <c r="Y97" s="167"/>
      <c r="Z97" s="167"/>
      <c r="AA97" s="167"/>
      <c r="AB97" s="167"/>
      <c r="AC97" s="167"/>
      <c r="AD97" s="167"/>
      <c r="AE97" s="167"/>
      <c r="AF97" s="167"/>
      <c r="AG97" s="167"/>
      <c r="AH97" s="167"/>
      <c r="AI97" s="167"/>
      <c r="AJ97" s="167"/>
      <c r="AK97" s="167"/>
      <c r="AL97" s="167"/>
      <c r="AM97" s="167"/>
      <c r="AN97" s="167"/>
      <c r="AO97" s="167"/>
      <c r="AP97" s="160"/>
      <c r="AQ97" s="160"/>
      <c r="AR97" s="160"/>
      <c r="AS97" s="160"/>
      <c r="AT97" s="160"/>
    </row>
    <row r="98" spans="23:46" s="99" customFormat="1" x14ac:dyDescent="0.25">
      <c r="W98" s="160"/>
      <c r="X98" s="160"/>
      <c r="Y98" s="167"/>
      <c r="Z98" s="167"/>
      <c r="AA98" s="167"/>
      <c r="AB98" s="167"/>
      <c r="AC98" s="167"/>
      <c r="AD98" s="167"/>
      <c r="AE98" s="167"/>
      <c r="AF98" s="167"/>
      <c r="AG98" s="167"/>
      <c r="AH98" s="167"/>
      <c r="AI98" s="167"/>
      <c r="AJ98" s="167"/>
      <c r="AK98" s="167"/>
      <c r="AL98" s="167"/>
      <c r="AM98" s="167"/>
      <c r="AN98" s="167"/>
      <c r="AO98" s="167"/>
      <c r="AP98" s="160"/>
      <c r="AQ98" s="160"/>
      <c r="AR98" s="160"/>
      <c r="AS98" s="160"/>
      <c r="AT98" s="160"/>
    </row>
    <row r="99" spans="23:46" s="99" customFormat="1" x14ac:dyDescent="0.25">
      <c r="W99" s="160"/>
      <c r="X99" s="160"/>
      <c r="Y99" s="167"/>
      <c r="Z99" s="167"/>
      <c r="AA99" s="167"/>
      <c r="AB99" s="167"/>
      <c r="AC99" s="167"/>
      <c r="AD99" s="167"/>
      <c r="AE99" s="167"/>
      <c r="AF99" s="167"/>
      <c r="AG99" s="167"/>
      <c r="AH99" s="167"/>
      <c r="AI99" s="167"/>
      <c r="AJ99" s="167"/>
      <c r="AK99" s="167"/>
      <c r="AL99" s="167"/>
      <c r="AM99" s="167"/>
      <c r="AN99" s="167"/>
      <c r="AO99" s="167"/>
      <c r="AP99" s="160"/>
      <c r="AQ99" s="160"/>
      <c r="AR99" s="160"/>
      <c r="AS99" s="160"/>
      <c r="AT99" s="160"/>
    </row>
    <row r="100" spans="23:46" s="99" customFormat="1" x14ac:dyDescent="0.25">
      <c r="W100" s="160"/>
      <c r="X100" s="160"/>
      <c r="Y100" s="167"/>
      <c r="Z100" s="167"/>
      <c r="AA100" s="167"/>
      <c r="AB100" s="167"/>
      <c r="AC100" s="167"/>
      <c r="AD100" s="167"/>
      <c r="AE100" s="167"/>
      <c r="AF100" s="167"/>
      <c r="AG100" s="167"/>
      <c r="AH100" s="167"/>
      <c r="AI100" s="167"/>
      <c r="AJ100" s="167"/>
      <c r="AK100" s="167"/>
      <c r="AL100" s="167"/>
      <c r="AM100" s="167"/>
      <c r="AN100" s="167"/>
      <c r="AO100" s="167"/>
      <c r="AP100" s="160"/>
      <c r="AQ100" s="160"/>
      <c r="AR100" s="160"/>
      <c r="AS100" s="160"/>
      <c r="AT100" s="160"/>
    </row>
    <row r="101" spans="23:46" s="99" customFormat="1" x14ac:dyDescent="0.25">
      <c r="W101" s="160"/>
      <c r="X101" s="160"/>
      <c r="Y101" s="167"/>
      <c r="Z101" s="167"/>
      <c r="AA101" s="167"/>
      <c r="AB101" s="167"/>
      <c r="AC101" s="167"/>
      <c r="AD101" s="167"/>
      <c r="AE101" s="167"/>
      <c r="AF101" s="167"/>
      <c r="AG101" s="167"/>
      <c r="AH101" s="167"/>
      <c r="AI101" s="167"/>
      <c r="AJ101" s="167"/>
      <c r="AK101" s="167"/>
      <c r="AL101" s="167"/>
      <c r="AM101" s="167"/>
      <c r="AN101" s="167"/>
      <c r="AO101" s="167"/>
      <c r="AP101" s="160"/>
      <c r="AQ101" s="160"/>
      <c r="AR101" s="160"/>
      <c r="AS101" s="160"/>
      <c r="AT101" s="160"/>
    </row>
    <row r="102" spans="23:46" s="99" customFormat="1" x14ac:dyDescent="0.25">
      <c r="W102" s="160"/>
      <c r="X102" s="160"/>
      <c r="Y102" s="167"/>
      <c r="Z102" s="167"/>
      <c r="AA102" s="167"/>
      <c r="AB102" s="167"/>
      <c r="AC102" s="167"/>
      <c r="AD102" s="167"/>
      <c r="AE102" s="167"/>
      <c r="AF102" s="167"/>
      <c r="AG102" s="167"/>
      <c r="AH102" s="167"/>
      <c r="AI102" s="167"/>
      <c r="AJ102" s="167"/>
      <c r="AK102" s="167"/>
      <c r="AL102" s="167"/>
      <c r="AM102" s="167"/>
      <c r="AN102" s="167"/>
      <c r="AO102" s="167"/>
      <c r="AP102" s="160"/>
      <c r="AQ102" s="160"/>
      <c r="AR102" s="160"/>
      <c r="AS102" s="160"/>
      <c r="AT102" s="160"/>
    </row>
    <row r="103" spans="23:46" s="99" customFormat="1" x14ac:dyDescent="0.25">
      <c r="W103" s="160"/>
      <c r="X103" s="160"/>
      <c r="Y103" s="167"/>
      <c r="Z103" s="167"/>
      <c r="AA103" s="167"/>
      <c r="AB103" s="167"/>
      <c r="AC103" s="167"/>
      <c r="AD103" s="167"/>
      <c r="AE103" s="167"/>
      <c r="AF103" s="167"/>
      <c r="AG103" s="167"/>
      <c r="AH103" s="167"/>
      <c r="AI103" s="167"/>
      <c r="AJ103" s="167"/>
      <c r="AK103" s="167"/>
      <c r="AL103" s="167"/>
      <c r="AM103" s="167"/>
      <c r="AN103" s="167"/>
      <c r="AO103" s="167"/>
      <c r="AP103" s="160"/>
      <c r="AQ103" s="160"/>
      <c r="AR103" s="160"/>
      <c r="AS103" s="160"/>
      <c r="AT103" s="160"/>
    </row>
    <row r="104" spans="23:46" s="99" customFormat="1" x14ac:dyDescent="0.25">
      <c r="W104" s="160"/>
      <c r="X104" s="160"/>
      <c r="Y104" s="167"/>
      <c r="Z104" s="167"/>
      <c r="AA104" s="167"/>
      <c r="AB104" s="167"/>
      <c r="AC104" s="167"/>
      <c r="AD104" s="167"/>
      <c r="AE104" s="167"/>
      <c r="AF104" s="167"/>
      <c r="AG104" s="167"/>
      <c r="AH104" s="167"/>
      <c r="AI104" s="167"/>
      <c r="AJ104" s="167"/>
      <c r="AK104" s="167"/>
      <c r="AL104" s="167"/>
      <c r="AM104" s="167"/>
      <c r="AN104" s="167"/>
      <c r="AO104" s="167"/>
      <c r="AP104" s="160"/>
      <c r="AQ104" s="160"/>
      <c r="AR104" s="160"/>
      <c r="AS104" s="160"/>
      <c r="AT104" s="160"/>
    </row>
    <row r="105" spans="23:46" s="99" customFormat="1" x14ac:dyDescent="0.25">
      <c r="W105" s="160"/>
      <c r="X105" s="160"/>
      <c r="Y105" s="167"/>
      <c r="Z105" s="167"/>
      <c r="AA105" s="167"/>
      <c r="AB105" s="167"/>
      <c r="AC105" s="167"/>
      <c r="AD105" s="167"/>
      <c r="AE105" s="167"/>
      <c r="AF105" s="167"/>
      <c r="AG105" s="167"/>
      <c r="AH105" s="167"/>
      <c r="AI105" s="167"/>
      <c r="AJ105" s="167"/>
      <c r="AK105" s="167"/>
      <c r="AL105" s="167"/>
      <c r="AM105" s="167"/>
      <c r="AN105" s="167"/>
      <c r="AO105" s="167"/>
      <c r="AP105" s="160"/>
      <c r="AQ105" s="160"/>
      <c r="AR105" s="160"/>
      <c r="AS105" s="160"/>
      <c r="AT105" s="160"/>
    </row>
    <row r="106" spans="23:46" s="99" customFormat="1" x14ac:dyDescent="0.25">
      <c r="W106" s="160"/>
      <c r="X106" s="160"/>
      <c r="Y106" s="167"/>
      <c r="Z106" s="167"/>
      <c r="AA106" s="167"/>
      <c r="AB106" s="167"/>
      <c r="AC106" s="167"/>
      <c r="AD106" s="167"/>
      <c r="AE106" s="167"/>
      <c r="AF106" s="167"/>
      <c r="AG106" s="167"/>
      <c r="AH106" s="167"/>
      <c r="AI106" s="167"/>
      <c r="AJ106" s="167"/>
      <c r="AK106" s="167"/>
      <c r="AL106" s="167"/>
      <c r="AM106" s="167"/>
      <c r="AN106" s="167"/>
      <c r="AO106" s="167"/>
      <c r="AP106" s="160"/>
      <c r="AQ106" s="160"/>
      <c r="AR106" s="160"/>
      <c r="AS106" s="160"/>
      <c r="AT106" s="160"/>
    </row>
    <row r="107" spans="23:46" s="99" customFormat="1" x14ac:dyDescent="0.25">
      <c r="W107" s="160"/>
      <c r="X107" s="160"/>
      <c r="Y107" s="167"/>
      <c r="Z107" s="167"/>
      <c r="AA107" s="167"/>
      <c r="AB107" s="167"/>
      <c r="AC107" s="167"/>
      <c r="AD107" s="167"/>
      <c r="AE107" s="167"/>
      <c r="AF107" s="167"/>
      <c r="AG107" s="167"/>
      <c r="AH107" s="167"/>
      <c r="AI107" s="167"/>
      <c r="AJ107" s="167"/>
      <c r="AK107" s="167"/>
      <c r="AL107" s="167"/>
      <c r="AM107" s="167"/>
      <c r="AN107" s="167"/>
      <c r="AO107" s="167"/>
      <c r="AP107" s="160"/>
      <c r="AQ107" s="160"/>
      <c r="AR107" s="160"/>
      <c r="AS107" s="160"/>
      <c r="AT107" s="160"/>
    </row>
    <row r="108" spans="23:46" s="99" customFormat="1" x14ac:dyDescent="0.25">
      <c r="W108" s="160"/>
      <c r="X108" s="160"/>
      <c r="Y108" s="167"/>
      <c r="Z108" s="167"/>
      <c r="AA108" s="167"/>
      <c r="AB108" s="167"/>
      <c r="AC108" s="167"/>
      <c r="AD108" s="167"/>
      <c r="AE108" s="167"/>
      <c r="AF108" s="167"/>
      <c r="AG108" s="167"/>
      <c r="AH108" s="167"/>
      <c r="AI108" s="167"/>
      <c r="AJ108" s="167"/>
      <c r="AK108" s="167"/>
      <c r="AL108" s="167"/>
      <c r="AM108" s="167"/>
      <c r="AN108" s="167"/>
      <c r="AO108" s="167"/>
      <c r="AP108" s="160"/>
      <c r="AQ108" s="160"/>
      <c r="AR108" s="160"/>
      <c r="AS108" s="160"/>
      <c r="AT108" s="160"/>
    </row>
    <row r="109" spans="23:46" s="99" customFormat="1" x14ac:dyDescent="0.25">
      <c r="W109" s="160"/>
      <c r="X109" s="160"/>
      <c r="Y109" s="167"/>
      <c r="Z109" s="167"/>
      <c r="AA109" s="167"/>
      <c r="AB109" s="167"/>
      <c r="AC109" s="167"/>
      <c r="AD109" s="167"/>
      <c r="AE109" s="167"/>
      <c r="AF109" s="167"/>
      <c r="AG109" s="167"/>
      <c r="AH109" s="167"/>
      <c r="AI109" s="167"/>
      <c r="AJ109" s="167"/>
      <c r="AK109" s="167"/>
      <c r="AL109" s="167"/>
      <c r="AM109" s="167"/>
      <c r="AN109" s="167"/>
      <c r="AO109" s="167"/>
      <c r="AP109" s="160"/>
      <c r="AQ109" s="160"/>
      <c r="AR109" s="160"/>
      <c r="AS109" s="160"/>
      <c r="AT109" s="160"/>
    </row>
    <row r="110" spans="23:46" s="99" customFormat="1" x14ac:dyDescent="0.25">
      <c r="W110" s="160"/>
      <c r="X110" s="160"/>
      <c r="Y110" s="167"/>
      <c r="Z110" s="167"/>
      <c r="AA110" s="167"/>
      <c r="AB110" s="167"/>
      <c r="AC110" s="167"/>
      <c r="AD110" s="167"/>
      <c r="AE110" s="167"/>
      <c r="AF110" s="167"/>
      <c r="AG110" s="167"/>
      <c r="AH110" s="167"/>
      <c r="AI110" s="167"/>
      <c r="AJ110" s="167"/>
      <c r="AK110" s="167"/>
      <c r="AL110" s="167"/>
      <c r="AM110" s="167"/>
      <c r="AN110" s="167"/>
      <c r="AO110" s="167"/>
      <c r="AP110" s="160"/>
      <c r="AQ110" s="160"/>
      <c r="AR110" s="160"/>
      <c r="AS110" s="160"/>
      <c r="AT110" s="160"/>
    </row>
    <row r="111" spans="23:46" s="99" customFormat="1" x14ac:dyDescent="0.25">
      <c r="W111" s="160"/>
      <c r="X111" s="160"/>
      <c r="Y111" s="167"/>
      <c r="Z111" s="167"/>
      <c r="AA111" s="167"/>
      <c r="AB111" s="167"/>
      <c r="AC111" s="167"/>
      <c r="AD111" s="167"/>
      <c r="AE111" s="167"/>
      <c r="AF111" s="167"/>
      <c r="AG111" s="167"/>
      <c r="AH111" s="167"/>
      <c r="AI111" s="167"/>
      <c r="AJ111" s="167"/>
      <c r="AK111" s="167"/>
      <c r="AL111" s="167"/>
      <c r="AM111" s="167"/>
      <c r="AN111" s="167"/>
      <c r="AO111" s="167"/>
      <c r="AP111" s="160"/>
      <c r="AQ111" s="160"/>
      <c r="AR111" s="160"/>
      <c r="AS111" s="160"/>
      <c r="AT111" s="160"/>
    </row>
    <row r="112" spans="23:46" s="99" customFormat="1" x14ac:dyDescent="0.25">
      <c r="W112" s="160"/>
      <c r="X112" s="160"/>
      <c r="Y112" s="167"/>
      <c r="Z112" s="167"/>
      <c r="AA112" s="167"/>
      <c r="AB112" s="167"/>
      <c r="AC112" s="167"/>
      <c r="AD112" s="167"/>
      <c r="AE112" s="167"/>
      <c r="AF112" s="167"/>
      <c r="AG112" s="167"/>
      <c r="AH112" s="167"/>
      <c r="AI112" s="167"/>
      <c r="AJ112" s="167"/>
      <c r="AK112" s="167"/>
      <c r="AL112" s="167"/>
      <c r="AM112" s="167"/>
      <c r="AN112" s="167"/>
      <c r="AO112" s="167"/>
      <c r="AP112" s="160"/>
      <c r="AQ112" s="160"/>
      <c r="AR112" s="160"/>
      <c r="AS112" s="160"/>
      <c r="AT112" s="160"/>
    </row>
    <row r="113" spans="23:46" s="99" customFormat="1" x14ac:dyDescent="0.25">
      <c r="W113" s="160"/>
      <c r="X113" s="160"/>
      <c r="Y113" s="167"/>
      <c r="Z113" s="167"/>
      <c r="AA113" s="167"/>
      <c r="AB113" s="167"/>
      <c r="AC113" s="167"/>
      <c r="AD113" s="167"/>
      <c r="AE113" s="167"/>
      <c r="AF113" s="167"/>
      <c r="AG113" s="167"/>
      <c r="AH113" s="167"/>
      <c r="AI113" s="167"/>
      <c r="AJ113" s="167"/>
      <c r="AK113" s="167"/>
      <c r="AL113" s="167"/>
      <c r="AM113" s="167"/>
      <c r="AN113" s="167"/>
      <c r="AO113" s="167"/>
      <c r="AP113" s="160"/>
      <c r="AQ113" s="160"/>
      <c r="AR113" s="160"/>
      <c r="AS113" s="160"/>
      <c r="AT113" s="160"/>
    </row>
    <row r="114" spans="23:46" s="99" customFormat="1" x14ac:dyDescent="0.25">
      <c r="W114" s="160"/>
      <c r="X114" s="160"/>
      <c r="Y114" s="167"/>
      <c r="Z114" s="167"/>
      <c r="AA114" s="167"/>
      <c r="AB114" s="167"/>
      <c r="AC114" s="167"/>
      <c r="AD114" s="167"/>
      <c r="AE114" s="167"/>
      <c r="AF114" s="167"/>
      <c r="AG114" s="167"/>
      <c r="AH114" s="167"/>
      <c r="AI114" s="167"/>
      <c r="AJ114" s="167"/>
      <c r="AK114" s="167"/>
      <c r="AL114" s="167"/>
      <c r="AM114" s="167"/>
      <c r="AN114" s="167"/>
      <c r="AO114" s="167"/>
      <c r="AP114" s="160"/>
      <c r="AQ114" s="160"/>
      <c r="AR114" s="160"/>
      <c r="AS114" s="160"/>
      <c r="AT114" s="160"/>
    </row>
    <row r="115" spans="23:46" s="99" customFormat="1" x14ac:dyDescent="0.25">
      <c r="W115" s="160"/>
      <c r="X115" s="160"/>
      <c r="Y115" s="167"/>
      <c r="Z115" s="167"/>
      <c r="AA115" s="167"/>
      <c r="AB115" s="167"/>
      <c r="AC115" s="167"/>
      <c r="AD115" s="167"/>
      <c r="AE115" s="167"/>
      <c r="AF115" s="167"/>
      <c r="AG115" s="167"/>
      <c r="AH115" s="167"/>
      <c r="AI115" s="167"/>
      <c r="AJ115" s="167"/>
      <c r="AK115" s="167"/>
      <c r="AL115" s="167"/>
      <c r="AM115" s="167"/>
      <c r="AN115" s="167"/>
      <c r="AO115" s="167"/>
      <c r="AP115" s="160"/>
      <c r="AQ115" s="160"/>
      <c r="AR115" s="160"/>
      <c r="AS115" s="160"/>
      <c r="AT115" s="160"/>
    </row>
    <row r="116" spans="23:46" s="99" customFormat="1" x14ac:dyDescent="0.25">
      <c r="W116" s="160"/>
      <c r="X116" s="160"/>
      <c r="Y116" s="167"/>
      <c r="Z116" s="167"/>
      <c r="AA116" s="167"/>
      <c r="AB116" s="167"/>
      <c r="AC116" s="167"/>
      <c r="AD116" s="167"/>
      <c r="AE116" s="167"/>
      <c r="AF116" s="167"/>
      <c r="AG116" s="167"/>
      <c r="AH116" s="167"/>
      <c r="AI116" s="167"/>
      <c r="AJ116" s="167"/>
      <c r="AK116" s="167"/>
      <c r="AL116" s="167"/>
      <c r="AM116" s="167"/>
      <c r="AN116" s="167"/>
      <c r="AO116" s="167"/>
      <c r="AP116" s="160"/>
      <c r="AQ116" s="160"/>
      <c r="AR116" s="160"/>
      <c r="AS116" s="160"/>
      <c r="AT116" s="160"/>
    </row>
    <row r="117" spans="23:46" s="99" customFormat="1" x14ac:dyDescent="0.25">
      <c r="W117" s="160"/>
      <c r="X117" s="160"/>
      <c r="Y117" s="167"/>
      <c r="Z117" s="167"/>
      <c r="AA117" s="167"/>
      <c r="AB117" s="167"/>
      <c r="AC117" s="167"/>
      <c r="AD117" s="167"/>
      <c r="AE117" s="167"/>
      <c r="AF117" s="167"/>
      <c r="AG117" s="167"/>
      <c r="AH117" s="167"/>
      <c r="AI117" s="167"/>
      <c r="AJ117" s="167"/>
      <c r="AK117" s="167"/>
      <c r="AL117" s="167"/>
      <c r="AM117" s="167"/>
      <c r="AN117" s="167"/>
      <c r="AO117" s="167"/>
      <c r="AP117" s="160"/>
      <c r="AQ117" s="160"/>
      <c r="AR117" s="160"/>
      <c r="AS117" s="160"/>
      <c r="AT117" s="160"/>
    </row>
    <row r="118" spans="23:46" s="99" customFormat="1" x14ac:dyDescent="0.25">
      <c r="W118" s="160"/>
      <c r="X118" s="160"/>
      <c r="Y118" s="167"/>
      <c r="Z118" s="167"/>
      <c r="AA118" s="167"/>
      <c r="AB118" s="167"/>
      <c r="AC118" s="167"/>
      <c r="AD118" s="167"/>
      <c r="AE118" s="167"/>
      <c r="AF118" s="167"/>
      <c r="AG118" s="167"/>
      <c r="AH118" s="167"/>
      <c r="AI118" s="167"/>
      <c r="AJ118" s="167"/>
      <c r="AK118" s="167"/>
      <c r="AL118" s="167"/>
      <c r="AM118" s="167"/>
      <c r="AN118" s="167"/>
      <c r="AO118" s="167"/>
      <c r="AP118" s="160"/>
      <c r="AQ118" s="160"/>
      <c r="AR118" s="160"/>
      <c r="AS118" s="160"/>
      <c r="AT118" s="160"/>
    </row>
    <row r="119" spans="23:46" s="99" customFormat="1" x14ac:dyDescent="0.25">
      <c r="W119" s="160"/>
      <c r="X119" s="160"/>
      <c r="Y119" s="167"/>
      <c r="Z119" s="167"/>
      <c r="AA119" s="167"/>
      <c r="AB119" s="167"/>
      <c r="AC119" s="167"/>
      <c r="AD119" s="167"/>
      <c r="AE119" s="167"/>
      <c r="AF119" s="167"/>
      <c r="AG119" s="167"/>
      <c r="AH119" s="167"/>
      <c r="AI119" s="167"/>
      <c r="AJ119" s="167"/>
      <c r="AK119" s="167"/>
      <c r="AL119" s="167"/>
      <c r="AM119" s="167"/>
      <c r="AN119" s="167"/>
      <c r="AO119" s="167"/>
      <c r="AP119" s="160"/>
      <c r="AQ119" s="160"/>
      <c r="AR119" s="160"/>
      <c r="AS119" s="160"/>
      <c r="AT119" s="160"/>
    </row>
    <row r="120" spans="23:46" s="99" customFormat="1" x14ac:dyDescent="0.25">
      <c r="W120" s="160"/>
      <c r="X120" s="160"/>
      <c r="Y120" s="167"/>
      <c r="Z120" s="167"/>
      <c r="AA120" s="167"/>
      <c r="AB120" s="167"/>
      <c r="AC120" s="167"/>
      <c r="AD120" s="167"/>
      <c r="AE120" s="167"/>
      <c r="AF120" s="167"/>
      <c r="AG120" s="167"/>
      <c r="AH120" s="167"/>
      <c r="AI120" s="167"/>
      <c r="AJ120" s="167"/>
      <c r="AK120" s="167"/>
      <c r="AL120" s="167"/>
      <c r="AM120" s="167"/>
      <c r="AN120" s="167"/>
      <c r="AO120" s="167"/>
      <c r="AP120" s="160"/>
      <c r="AQ120" s="160"/>
      <c r="AR120" s="160"/>
      <c r="AS120" s="160"/>
      <c r="AT120" s="160"/>
    </row>
    <row r="121" spans="23:46" s="99" customFormat="1" x14ac:dyDescent="0.25">
      <c r="W121" s="160"/>
      <c r="X121" s="160"/>
      <c r="Y121" s="167"/>
      <c r="Z121" s="167"/>
      <c r="AA121" s="167"/>
      <c r="AB121" s="167"/>
      <c r="AC121" s="167"/>
      <c r="AD121" s="167"/>
      <c r="AE121" s="167"/>
      <c r="AF121" s="167"/>
      <c r="AG121" s="167"/>
      <c r="AH121" s="167"/>
      <c r="AI121" s="167"/>
      <c r="AJ121" s="167"/>
      <c r="AK121" s="167"/>
      <c r="AL121" s="167"/>
      <c r="AM121" s="167"/>
      <c r="AN121" s="167"/>
      <c r="AO121" s="167"/>
      <c r="AP121" s="160"/>
      <c r="AQ121" s="160"/>
      <c r="AR121" s="160"/>
      <c r="AS121" s="160"/>
      <c r="AT121" s="160"/>
    </row>
    <row r="122" spans="23:46" s="99" customFormat="1" x14ac:dyDescent="0.25">
      <c r="W122" s="160"/>
      <c r="X122" s="160"/>
      <c r="Y122" s="167"/>
      <c r="Z122" s="167"/>
      <c r="AA122" s="167"/>
      <c r="AB122" s="167"/>
      <c r="AC122" s="167"/>
      <c r="AD122" s="167"/>
      <c r="AE122" s="167"/>
      <c r="AF122" s="167"/>
      <c r="AG122" s="167"/>
      <c r="AH122" s="167"/>
      <c r="AI122" s="167"/>
      <c r="AJ122" s="167"/>
      <c r="AK122" s="167"/>
      <c r="AL122" s="167"/>
      <c r="AM122" s="167"/>
      <c r="AN122" s="167"/>
      <c r="AO122" s="167"/>
      <c r="AP122" s="160"/>
      <c r="AQ122" s="160"/>
      <c r="AR122" s="160"/>
      <c r="AS122" s="160"/>
      <c r="AT122" s="160"/>
    </row>
    <row r="123" spans="23:46" s="99" customFormat="1" x14ac:dyDescent="0.25">
      <c r="W123" s="160"/>
      <c r="X123" s="160"/>
      <c r="Y123" s="167"/>
      <c r="Z123" s="167"/>
      <c r="AA123" s="167"/>
      <c r="AB123" s="167"/>
      <c r="AC123" s="167"/>
      <c r="AD123" s="167"/>
      <c r="AE123" s="167"/>
      <c r="AF123" s="167"/>
      <c r="AG123" s="167"/>
      <c r="AH123" s="167"/>
      <c r="AI123" s="167"/>
      <c r="AJ123" s="167"/>
      <c r="AK123" s="167"/>
      <c r="AL123" s="167"/>
      <c r="AM123" s="167"/>
      <c r="AN123" s="167"/>
      <c r="AO123" s="167"/>
      <c r="AP123" s="160"/>
      <c r="AQ123" s="160"/>
      <c r="AR123" s="160"/>
      <c r="AS123" s="160"/>
      <c r="AT123" s="160"/>
    </row>
    <row r="124" spans="23:46" s="99" customFormat="1" x14ac:dyDescent="0.25">
      <c r="W124" s="160"/>
      <c r="X124" s="160"/>
      <c r="Y124" s="167"/>
      <c r="Z124" s="167"/>
      <c r="AA124" s="167"/>
      <c r="AB124" s="167"/>
      <c r="AC124" s="167"/>
      <c r="AD124" s="167"/>
      <c r="AE124" s="167"/>
      <c r="AF124" s="167"/>
      <c r="AG124" s="167"/>
      <c r="AH124" s="167"/>
      <c r="AI124" s="167"/>
      <c r="AJ124" s="167"/>
      <c r="AK124" s="167"/>
      <c r="AL124" s="167"/>
      <c r="AM124" s="167"/>
      <c r="AN124" s="167"/>
      <c r="AO124" s="167"/>
      <c r="AP124" s="160"/>
      <c r="AQ124" s="160"/>
      <c r="AR124" s="160"/>
      <c r="AS124" s="160"/>
      <c r="AT124" s="160"/>
    </row>
    <row r="125" spans="23:46" s="99" customFormat="1" x14ac:dyDescent="0.25">
      <c r="W125" s="160"/>
      <c r="X125" s="160"/>
      <c r="Y125" s="167"/>
      <c r="Z125" s="167"/>
      <c r="AA125" s="167"/>
      <c r="AB125" s="167"/>
      <c r="AC125" s="167"/>
      <c r="AD125" s="167"/>
      <c r="AE125" s="167"/>
      <c r="AF125" s="167"/>
      <c r="AG125" s="167"/>
      <c r="AH125" s="167"/>
      <c r="AI125" s="167"/>
      <c r="AJ125" s="167"/>
      <c r="AK125" s="167"/>
      <c r="AL125" s="167"/>
      <c r="AM125" s="167"/>
      <c r="AN125" s="167"/>
      <c r="AO125" s="167"/>
      <c r="AP125" s="160"/>
      <c r="AQ125" s="160"/>
      <c r="AR125" s="160"/>
      <c r="AS125" s="160"/>
      <c r="AT125" s="160"/>
    </row>
    <row r="126" spans="23:46" s="99" customFormat="1" x14ac:dyDescent="0.25">
      <c r="W126" s="160"/>
      <c r="X126" s="160"/>
      <c r="Y126" s="167"/>
      <c r="Z126" s="167"/>
      <c r="AA126" s="167"/>
      <c r="AB126" s="167"/>
      <c r="AC126" s="167"/>
      <c r="AD126" s="167"/>
      <c r="AE126" s="167"/>
      <c r="AF126" s="167"/>
      <c r="AG126" s="167"/>
      <c r="AH126" s="167"/>
      <c r="AI126" s="167"/>
      <c r="AJ126" s="167"/>
      <c r="AK126" s="167"/>
      <c r="AL126" s="167"/>
      <c r="AM126" s="167"/>
      <c r="AN126" s="167"/>
      <c r="AO126" s="167"/>
      <c r="AP126" s="160"/>
      <c r="AQ126" s="160"/>
      <c r="AR126" s="160"/>
      <c r="AS126" s="160"/>
      <c r="AT126" s="160"/>
    </row>
    <row r="127" spans="23:46" s="99" customFormat="1" x14ac:dyDescent="0.25">
      <c r="W127" s="160"/>
      <c r="X127" s="160"/>
      <c r="Y127" s="167"/>
      <c r="Z127" s="167"/>
      <c r="AA127" s="167"/>
      <c r="AB127" s="167"/>
      <c r="AC127" s="167"/>
      <c r="AD127" s="167"/>
      <c r="AE127" s="167"/>
      <c r="AF127" s="167"/>
      <c r="AG127" s="167"/>
      <c r="AH127" s="167"/>
      <c r="AI127" s="167"/>
      <c r="AJ127" s="167"/>
      <c r="AK127" s="167"/>
      <c r="AL127" s="167"/>
      <c r="AM127" s="167"/>
      <c r="AN127" s="167"/>
      <c r="AO127" s="167"/>
      <c r="AP127" s="160"/>
      <c r="AQ127" s="160"/>
      <c r="AR127" s="160"/>
      <c r="AS127" s="160"/>
      <c r="AT127" s="160"/>
    </row>
    <row r="128" spans="23:46" s="99" customFormat="1" x14ac:dyDescent="0.25">
      <c r="W128" s="160"/>
      <c r="X128" s="160"/>
      <c r="Y128" s="167"/>
      <c r="Z128" s="167"/>
      <c r="AA128" s="167"/>
      <c r="AB128" s="167"/>
      <c r="AC128" s="167"/>
      <c r="AD128" s="167"/>
      <c r="AE128" s="167"/>
      <c r="AF128" s="167"/>
      <c r="AG128" s="167"/>
      <c r="AH128" s="167"/>
      <c r="AI128" s="167"/>
      <c r="AJ128" s="167"/>
      <c r="AK128" s="167"/>
      <c r="AL128" s="167"/>
      <c r="AM128" s="167"/>
      <c r="AN128" s="167"/>
      <c r="AO128" s="167"/>
      <c r="AP128" s="160"/>
      <c r="AQ128" s="160"/>
      <c r="AR128" s="160"/>
      <c r="AS128" s="160"/>
      <c r="AT128" s="160"/>
    </row>
    <row r="129" spans="23:46" s="99" customFormat="1" x14ac:dyDescent="0.25">
      <c r="W129" s="160"/>
      <c r="X129" s="160"/>
      <c r="Y129" s="167"/>
      <c r="Z129" s="167"/>
      <c r="AA129" s="167"/>
      <c r="AB129" s="167"/>
      <c r="AC129" s="167"/>
      <c r="AD129" s="167"/>
      <c r="AE129" s="167"/>
      <c r="AF129" s="167"/>
      <c r="AG129" s="167"/>
      <c r="AH129" s="167"/>
      <c r="AI129" s="167"/>
      <c r="AJ129" s="167"/>
      <c r="AK129" s="167"/>
      <c r="AL129" s="167"/>
      <c r="AM129" s="167"/>
      <c r="AN129" s="167"/>
      <c r="AO129" s="167"/>
      <c r="AP129" s="160"/>
      <c r="AQ129" s="160"/>
      <c r="AR129" s="160"/>
      <c r="AS129" s="160"/>
      <c r="AT129" s="160"/>
    </row>
    <row r="130" spans="23:46" s="99" customFormat="1" x14ac:dyDescent="0.25">
      <c r="W130" s="160"/>
      <c r="X130" s="160"/>
      <c r="Y130" s="167"/>
      <c r="Z130" s="167"/>
      <c r="AA130" s="167"/>
      <c r="AB130" s="167"/>
      <c r="AC130" s="167"/>
      <c r="AD130" s="167"/>
      <c r="AE130" s="167"/>
      <c r="AF130" s="167"/>
      <c r="AG130" s="167"/>
      <c r="AH130" s="167"/>
      <c r="AI130" s="167"/>
      <c r="AJ130" s="167"/>
      <c r="AK130" s="167"/>
      <c r="AL130" s="167"/>
      <c r="AM130" s="167"/>
      <c r="AN130" s="167"/>
      <c r="AO130" s="167"/>
      <c r="AP130" s="160"/>
      <c r="AQ130" s="160"/>
      <c r="AR130" s="160"/>
      <c r="AS130" s="160"/>
      <c r="AT130" s="160"/>
    </row>
    <row r="131" spans="23:46" s="99" customFormat="1" x14ac:dyDescent="0.25">
      <c r="W131" s="160"/>
      <c r="X131" s="160"/>
      <c r="Y131" s="167"/>
      <c r="Z131" s="167"/>
      <c r="AA131" s="167"/>
      <c r="AB131" s="167"/>
      <c r="AC131" s="167"/>
      <c r="AD131" s="167"/>
      <c r="AE131" s="167"/>
      <c r="AF131" s="167"/>
      <c r="AG131" s="167"/>
      <c r="AH131" s="167"/>
      <c r="AI131" s="167"/>
      <c r="AJ131" s="167"/>
      <c r="AK131" s="167"/>
      <c r="AL131" s="167"/>
      <c r="AM131" s="167"/>
      <c r="AN131" s="167"/>
      <c r="AO131" s="167"/>
      <c r="AP131" s="160"/>
      <c r="AQ131" s="160"/>
      <c r="AR131" s="160"/>
      <c r="AS131" s="160"/>
      <c r="AT131" s="160"/>
    </row>
    <row r="132" spans="23:46" s="99" customFormat="1" x14ac:dyDescent="0.25">
      <c r="W132" s="160"/>
      <c r="X132" s="160"/>
      <c r="Y132" s="167"/>
      <c r="Z132" s="167"/>
      <c r="AA132" s="167"/>
      <c r="AB132" s="167"/>
      <c r="AC132" s="167"/>
      <c r="AD132" s="167"/>
      <c r="AE132" s="167"/>
      <c r="AF132" s="167"/>
      <c r="AG132" s="167"/>
      <c r="AH132" s="167"/>
      <c r="AI132" s="167"/>
      <c r="AJ132" s="167"/>
      <c r="AK132" s="167"/>
      <c r="AL132" s="167"/>
      <c r="AM132" s="167"/>
      <c r="AN132" s="167"/>
      <c r="AO132" s="167"/>
      <c r="AP132" s="160"/>
      <c r="AQ132" s="160"/>
      <c r="AR132" s="160"/>
      <c r="AS132" s="160"/>
      <c r="AT132" s="160"/>
    </row>
    <row r="133" spans="23:46" s="99" customFormat="1" x14ac:dyDescent="0.25">
      <c r="W133" s="160"/>
      <c r="X133" s="160"/>
      <c r="Y133" s="167"/>
      <c r="Z133" s="167"/>
      <c r="AA133" s="167"/>
      <c r="AB133" s="167"/>
      <c r="AC133" s="167"/>
      <c r="AD133" s="167"/>
      <c r="AE133" s="167"/>
      <c r="AF133" s="167"/>
      <c r="AG133" s="167"/>
      <c r="AH133" s="167"/>
      <c r="AI133" s="167"/>
      <c r="AJ133" s="167"/>
      <c r="AK133" s="167"/>
      <c r="AL133" s="167"/>
      <c r="AM133" s="167"/>
      <c r="AN133" s="167"/>
      <c r="AO133" s="167"/>
      <c r="AP133" s="160"/>
      <c r="AQ133" s="160"/>
      <c r="AR133" s="160"/>
      <c r="AS133" s="160"/>
      <c r="AT133" s="160"/>
    </row>
    <row r="134" spans="23:46" s="99" customFormat="1" x14ac:dyDescent="0.25">
      <c r="W134" s="160"/>
      <c r="X134" s="160"/>
      <c r="Y134" s="167"/>
      <c r="Z134" s="167"/>
      <c r="AA134" s="167"/>
      <c r="AB134" s="167"/>
      <c r="AC134" s="167"/>
      <c r="AD134" s="167"/>
      <c r="AE134" s="167"/>
      <c r="AF134" s="167"/>
      <c r="AG134" s="167"/>
      <c r="AH134" s="167"/>
      <c r="AI134" s="167"/>
      <c r="AJ134" s="167"/>
      <c r="AK134" s="167"/>
      <c r="AL134" s="167"/>
      <c r="AM134" s="167"/>
      <c r="AN134" s="167"/>
      <c r="AO134" s="167"/>
      <c r="AP134" s="160"/>
      <c r="AQ134" s="160"/>
      <c r="AR134" s="160"/>
      <c r="AS134" s="160"/>
      <c r="AT134" s="160"/>
    </row>
    <row r="135" spans="23:46" s="99" customFormat="1" x14ac:dyDescent="0.25">
      <c r="W135" s="160"/>
      <c r="X135" s="160"/>
      <c r="Y135" s="167"/>
      <c r="Z135" s="167"/>
      <c r="AA135" s="167"/>
      <c r="AB135" s="167"/>
      <c r="AC135" s="167"/>
      <c r="AD135" s="167"/>
      <c r="AE135" s="167"/>
      <c r="AF135" s="167"/>
      <c r="AG135" s="167"/>
      <c r="AH135" s="167"/>
      <c r="AI135" s="167"/>
      <c r="AJ135" s="167"/>
      <c r="AK135" s="167"/>
      <c r="AL135" s="167"/>
      <c r="AM135" s="167"/>
      <c r="AN135" s="167"/>
      <c r="AO135" s="167"/>
      <c r="AP135" s="160"/>
      <c r="AQ135" s="160"/>
      <c r="AR135" s="160"/>
      <c r="AS135" s="160"/>
      <c r="AT135" s="160"/>
    </row>
    <row r="136" spans="23:46" s="99" customFormat="1" x14ac:dyDescent="0.25">
      <c r="W136" s="160"/>
      <c r="X136" s="160"/>
      <c r="Y136" s="167"/>
      <c r="Z136" s="167"/>
      <c r="AA136" s="167"/>
      <c r="AB136" s="167"/>
      <c r="AC136" s="167"/>
      <c r="AD136" s="167"/>
      <c r="AE136" s="167"/>
      <c r="AF136" s="167"/>
      <c r="AG136" s="167"/>
      <c r="AH136" s="167"/>
      <c r="AI136" s="167"/>
      <c r="AJ136" s="167"/>
      <c r="AK136" s="167"/>
      <c r="AL136" s="167"/>
      <c r="AM136" s="167"/>
      <c r="AN136" s="167"/>
      <c r="AO136" s="167"/>
      <c r="AP136" s="160"/>
      <c r="AQ136" s="160"/>
      <c r="AR136" s="160"/>
      <c r="AS136" s="160"/>
      <c r="AT136" s="160"/>
    </row>
    <row r="137" spans="23:46" s="99" customFormat="1" x14ac:dyDescent="0.25">
      <c r="W137" s="160"/>
      <c r="X137" s="160"/>
      <c r="Y137" s="167"/>
      <c r="Z137" s="167"/>
      <c r="AA137" s="167"/>
      <c r="AB137" s="167"/>
      <c r="AC137" s="167"/>
      <c r="AD137" s="167"/>
      <c r="AE137" s="167"/>
      <c r="AF137" s="167"/>
      <c r="AG137" s="167"/>
      <c r="AH137" s="167"/>
      <c r="AI137" s="167"/>
      <c r="AJ137" s="167"/>
      <c r="AK137" s="167"/>
      <c r="AL137" s="167"/>
      <c r="AM137" s="167"/>
      <c r="AN137" s="167"/>
      <c r="AO137" s="167"/>
      <c r="AP137" s="160"/>
      <c r="AQ137" s="160"/>
      <c r="AR137" s="160"/>
      <c r="AS137" s="160"/>
      <c r="AT137" s="160"/>
    </row>
    <row r="138" spans="23:46" s="99" customFormat="1" x14ac:dyDescent="0.25">
      <c r="W138" s="160"/>
      <c r="X138" s="160"/>
      <c r="Y138" s="167"/>
      <c r="Z138" s="167"/>
      <c r="AA138" s="167"/>
      <c r="AB138" s="167"/>
      <c r="AC138" s="167"/>
      <c r="AD138" s="167"/>
      <c r="AE138" s="167"/>
      <c r="AF138" s="167"/>
      <c r="AG138" s="167"/>
      <c r="AH138" s="167"/>
      <c r="AI138" s="167"/>
      <c r="AJ138" s="167"/>
      <c r="AK138" s="167"/>
      <c r="AL138" s="167"/>
      <c r="AM138" s="167"/>
      <c r="AN138" s="167"/>
      <c r="AO138" s="167"/>
      <c r="AP138" s="160"/>
      <c r="AQ138" s="160"/>
      <c r="AR138" s="160"/>
      <c r="AS138" s="160"/>
      <c r="AT138" s="160"/>
    </row>
    <row r="139" spans="23:46" s="99" customFormat="1" x14ac:dyDescent="0.25">
      <c r="W139" s="160"/>
      <c r="X139" s="160"/>
      <c r="Y139" s="167"/>
      <c r="Z139" s="167"/>
      <c r="AA139" s="167"/>
      <c r="AB139" s="167"/>
      <c r="AC139" s="167"/>
      <c r="AD139" s="167"/>
      <c r="AE139" s="167"/>
      <c r="AF139" s="167"/>
      <c r="AG139" s="167"/>
      <c r="AH139" s="167"/>
      <c r="AI139" s="167"/>
      <c r="AJ139" s="167"/>
      <c r="AK139" s="167"/>
      <c r="AL139" s="167"/>
      <c r="AM139" s="167"/>
      <c r="AN139" s="167"/>
      <c r="AO139" s="167"/>
      <c r="AP139" s="160"/>
      <c r="AQ139" s="160"/>
      <c r="AR139" s="160"/>
      <c r="AS139" s="160"/>
      <c r="AT139" s="160"/>
    </row>
    <row r="140" spans="23:46" s="99" customFormat="1" x14ac:dyDescent="0.25">
      <c r="W140" s="160"/>
      <c r="X140" s="160"/>
      <c r="Y140" s="167"/>
      <c r="Z140" s="167"/>
      <c r="AA140" s="167"/>
      <c r="AB140" s="167"/>
      <c r="AC140" s="167"/>
      <c r="AD140" s="167"/>
      <c r="AE140" s="167"/>
      <c r="AF140" s="167"/>
      <c r="AG140" s="167"/>
      <c r="AH140" s="167"/>
      <c r="AI140" s="167"/>
      <c r="AJ140" s="167"/>
      <c r="AK140" s="167"/>
      <c r="AL140" s="167"/>
      <c r="AM140" s="167"/>
      <c r="AN140" s="167"/>
      <c r="AO140" s="167"/>
      <c r="AP140" s="160"/>
      <c r="AQ140" s="160"/>
      <c r="AR140" s="160"/>
      <c r="AS140" s="160"/>
      <c r="AT140" s="160"/>
    </row>
    <row r="141" spans="23:46" s="99" customFormat="1" x14ac:dyDescent="0.25">
      <c r="W141" s="160"/>
      <c r="X141" s="160"/>
      <c r="Y141" s="167"/>
      <c r="Z141" s="167"/>
      <c r="AA141" s="167"/>
      <c r="AB141" s="167"/>
      <c r="AC141" s="167"/>
      <c r="AD141" s="167"/>
      <c r="AE141" s="167"/>
      <c r="AF141" s="167"/>
      <c r="AG141" s="167"/>
      <c r="AH141" s="167"/>
      <c r="AI141" s="167"/>
      <c r="AJ141" s="167"/>
      <c r="AK141" s="167"/>
      <c r="AL141" s="167"/>
      <c r="AM141" s="167"/>
      <c r="AN141" s="167"/>
      <c r="AO141" s="167"/>
      <c r="AP141" s="160"/>
      <c r="AQ141" s="160"/>
      <c r="AR141" s="160"/>
      <c r="AS141" s="160"/>
      <c r="AT141" s="160"/>
    </row>
    <row r="142" spans="23:46" s="99" customFormat="1" x14ac:dyDescent="0.25">
      <c r="W142" s="160"/>
      <c r="X142" s="160"/>
      <c r="Y142" s="167"/>
      <c r="Z142" s="167"/>
      <c r="AA142" s="167"/>
      <c r="AB142" s="167"/>
      <c r="AC142" s="167"/>
      <c r="AD142" s="167"/>
      <c r="AE142" s="167"/>
      <c r="AF142" s="167"/>
      <c r="AG142" s="167"/>
      <c r="AH142" s="167"/>
      <c r="AI142" s="167"/>
      <c r="AJ142" s="167"/>
      <c r="AK142" s="167"/>
      <c r="AL142" s="167"/>
      <c r="AM142" s="167"/>
      <c r="AN142" s="167"/>
      <c r="AO142" s="167"/>
      <c r="AP142" s="160"/>
      <c r="AQ142" s="160"/>
      <c r="AR142" s="160"/>
      <c r="AS142" s="160"/>
      <c r="AT142" s="160"/>
    </row>
    <row r="143" spans="23:46" s="99" customFormat="1" x14ac:dyDescent="0.25">
      <c r="W143" s="160"/>
      <c r="X143" s="160"/>
      <c r="Y143" s="167"/>
      <c r="Z143" s="167"/>
      <c r="AA143" s="167"/>
      <c r="AB143" s="167"/>
      <c r="AC143" s="167"/>
      <c r="AD143" s="167"/>
      <c r="AE143" s="167"/>
      <c r="AF143" s="167"/>
      <c r="AG143" s="167"/>
      <c r="AH143" s="167"/>
      <c r="AI143" s="167"/>
      <c r="AJ143" s="167"/>
      <c r="AK143" s="167"/>
      <c r="AL143" s="167"/>
      <c r="AM143" s="167"/>
      <c r="AN143" s="167"/>
      <c r="AO143" s="167"/>
      <c r="AP143" s="160"/>
      <c r="AQ143" s="160"/>
      <c r="AR143" s="160"/>
      <c r="AS143" s="160"/>
      <c r="AT143" s="160"/>
    </row>
    <row r="144" spans="23:46" s="99" customFormat="1" x14ac:dyDescent="0.25">
      <c r="W144" s="160"/>
      <c r="X144" s="160"/>
      <c r="Y144" s="167"/>
      <c r="Z144" s="167"/>
      <c r="AA144" s="167"/>
      <c r="AB144" s="167"/>
      <c r="AC144" s="167"/>
      <c r="AD144" s="167"/>
      <c r="AE144" s="167"/>
      <c r="AF144" s="167"/>
      <c r="AG144" s="167"/>
      <c r="AH144" s="167"/>
      <c r="AI144" s="167"/>
      <c r="AJ144" s="167"/>
      <c r="AK144" s="167"/>
      <c r="AL144" s="167"/>
      <c r="AM144" s="167"/>
      <c r="AN144" s="167"/>
      <c r="AO144" s="167"/>
      <c r="AP144" s="160"/>
      <c r="AQ144" s="160"/>
      <c r="AR144" s="160"/>
      <c r="AS144" s="160"/>
      <c r="AT144" s="160"/>
    </row>
    <row r="145" spans="23:46" s="99" customFormat="1" x14ac:dyDescent="0.25">
      <c r="W145" s="160"/>
      <c r="X145" s="160"/>
      <c r="Y145" s="167"/>
      <c r="Z145" s="167"/>
      <c r="AA145" s="167"/>
      <c r="AB145" s="167"/>
      <c r="AC145" s="167"/>
      <c r="AD145" s="167"/>
      <c r="AE145" s="167"/>
      <c r="AF145" s="167"/>
      <c r="AG145" s="167"/>
      <c r="AH145" s="167"/>
      <c r="AI145" s="167"/>
      <c r="AJ145" s="167"/>
      <c r="AK145" s="167"/>
      <c r="AL145" s="167"/>
      <c r="AM145" s="167"/>
      <c r="AN145" s="167"/>
      <c r="AO145" s="167"/>
      <c r="AP145" s="160"/>
      <c r="AQ145" s="160"/>
      <c r="AR145" s="160"/>
      <c r="AS145" s="160"/>
      <c r="AT145" s="160"/>
    </row>
    <row r="146" spans="23:46" s="99" customFormat="1" x14ac:dyDescent="0.25">
      <c r="W146" s="160"/>
      <c r="X146" s="160"/>
      <c r="Y146" s="167"/>
      <c r="Z146" s="167"/>
      <c r="AA146" s="167"/>
      <c r="AB146" s="167"/>
      <c r="AC146" s="167"/>
      <c r="AD146" s="167"/>
      <c r="AE146" s="167"/>
      <c r="AF146" s="167"/>
      <c r="AG146" s="167"/>
      <c r="AH146" s="167"/>
      <c r="AI146" s="167"/>
      <c r="AJ146" s="167"/>
      <c r="AK146" s="167"/>
      <c r="AL146" s="167"/>
      <c r="AM146" s="167"/>
      <c r="AN146" s="167"/>
      <c r="AO146" s="167"/>
      <c r="AP146" s="160"/>
      <c r="AQ146" s="160"/>
      <c r="AR146" s="160"/>
      <c r="AS146" s="160"/>
      <c r="AT146" s="160"/>
    </row>
    <row r="147" spans="23:46" s="99" customFormat="1" x14ac:dyDescent="0.25">
      <c r="W147" s="160"/>
      <c r="X147" s="160"/>
      <c r="Y147" s="167"/>
      <c r="Z147" s="167"/>
      <c r="AA147" s="167"/>
      <c r="AB147" s="167"/>
      <c r="AC147" s="167"/>
      <c r="AD147" s="167"/>
      <c r="AE147" s="167"/>
      <c r="AF147" s="167"/>
      <c r="AG147" s="167"/>
      <c r="AH147" s="167"/>
      <c r="AI147" s="167"/>
      <c r="AJ147" s="167"/>
      <c r="AK147" s="167"/>
      <c r="AL147" s="167"/>
      <c r="AM147" s="167"/>
      <c r="AN147" s="167"/>
      <c r="AO147" s="167"/>
      <c r="AP147" s="160"/>
      <c r="AQ147" s="160"/>
      <c r="AR147" s="160"/>
      <c r="AS147" s="160"/>
      <c r="AT147" s="160"/>
    </row>
    <row r="148" spans="23:46" s="99" customFormat="1" x14ac:dyDescent="0.25">
      <c r="W148" s="160"/>
      <c r="X148" s="160"/>
      <c r="Y148" s="167"/>
      <c r="Z148" s="167"/>
      <c r="AA148" s="167"/>
      <c r="AB148" s="167"/>
      <c r="AC148" s="167"/>
      <c r="AD148" s="167"/>
      <c r="AE148" s="167"/>
      <c r="AF148" s="167"/>
      <c r="AG148" s="167"/>
      <c r="AH148" s="167"/>
      <c r="AI148" s="167"/>
      <c r="AJ148" s="167"/>
      <c r="AK148" s="167"/>
      <c r="AL148" s="167"/>
      <c r="AM148" s="167"/>
      <c r="AN148" s="167"/>
      <c r="AO148" s="167"/>
      <c r="AP148" s="160"/>
      <c r="AQ148" s="160"/>
      <c r="AR148" s="160"/>
      <c r="AS148" s="160"/>
      <c r="AT148" s="160"/>
    </row>
    <row r="149" spans="23:46" s="99" customFormat="1" x14ac:dyDescent="0.25">
      <c r="W149" s="160"/>
      <c r="X149" s="160"/>
      <c r="Y149" s="167"/>
      <c r="Z149" s="167"/>
      <c r="AA149" s="167"/>
      <c r="AB149" s="167"/>
      <c r="AC149" s="167"/>
      <c r="AD149" s="167"/>
      <c r="AE149" s="167"/>
      <c r="AF149" s="167"/>
      <c r="AG149" s="167"/>
      <c r="AH149" s="167"/>
      <c r="AI149" s="167"/>
      <c r="AJ149" s="167"/>
      <c r="AK149" s="167"/>
      <c r="AL149" s="167"/>
      <c r="AM149" s="167"/>
      <c r="AN149" s="167"/>
      <c r="AO149" s="167"/>
      <c r="AP149" s="160"/>
      <c r="AQ149" s="160"/>
      <c r="AR149" s="160"/>
      <c r="AS149" s="160"/>
      <c r="AT149" s="160"/>
    </row>
    <row r="150" spans="23:46" s="99" customFormat="1" x14ac:dyDescent="0.25">
      <c r="W150" s="160"/>
      <c r="X150" s="160"/>
      <c r="Y150" s="167"/>
      <c r="Z150" s="167"/>
      <c r="AA150" s="167"/>
      <c r="AB150" s="167"/>
      <c r="AC150" s="167"/>
      <c r="AD150" s="167"/>
      <c r="AE150" s="167"/>
      <c r="AF150" s="167"/>
      <c r="AG150" s="167"/>
      <c r="AH150" s="167"/>
      <c r="AI150" s="167"/>
      <c r="AJ150" s="167"/>
      <c r="AK150" s="167"/>
      <c r="AL150" s="167"/>
      <c r="AM150" s="167"/>
      <c r="AN150" s="167"/>
      <c r="AO150" s="167"/>
      <c r="AP150" s="160"/>
      <c r="AQ150" s="160"/>
      <c r="AR150" s="160"/>
      <c r="AS150" s="160"/>
      <c r="AT150" s="160"/>
    </row>
    <row r="151" spans="23:46" s="99" customFormat="1" x14ac:dyDescent="0.25">
      <c r="W151" s="160"/>
      <c r="X151" s="160"/>
      <c r="Y151" s="167"/>
      <c r="Z151" s="167"/>
      <c r="AA151" s="167"/>
      <c r="AB151" s="167"/>
      <c r="AC151" s="167"/>
      <c r="AD151" s="167"/>
      <c r="AE151" s="167"/>
      <c r="AF151" s="167"/>
      <c r="AG151" s="167"/>
      <c r="AH151" s="167"/>
      <c r="AI151" s="167"/>
      <c r="AJ151" s="167"/>
      <c r="AK151" s="167"/>
      <c r="AL151" s="167"/>
      <c r="AM151" s="167"/>
      <c r="AN151" s="167"/>
      <c r="AO151" s="167"/>
      <c r="AP151" s="160"/>
      <c r="AQ151" s="160"/>
      <c r="AR151" s="160"/>
      <c r="AS151" s="160"/>
      <c r="AT151" s="160"/>
    </row>
    <row r="152" spans="23:46" s="99" customFormat="1" x14ac:dyDescent="0.25">
      <c r="W152" s="160"/>
      <c r="X152" s="160"/>
      <c r="Y152" s="167"/>
      <c r="Z152" s="167"/>
      <c r="AA152" s="167"/>
      <c r="AB152" s="167"/>
      <c r="AC152" s="167"/>
      <c r="AD152" s="167"/>
      <c r="AE152" s="167"/>
      <c r="AF152" s="167"/>
      <c r="AG152" s="167"/>
      <c r="AH152" s="167"/>
      <c r="AI152" s="167"/>
      <c r="AJ152" s="167"/>
      <c r="AK152" s="167"/>
      <c r="AL152" s="167"/>
      <c r="AM152" s="167"/>
      <c r="AN152" s="167"/>
      <c r="AO152" s="167"/>
      <c r="AP152" s="160"/>
      <c r="AQ152" s="160"/>
      <c r="AR152" s="160"/>
      <c r="AS152" s="160"/>
      <c r="AT152" s="160"/>
    </row>
    <row r="153" spans="23:46" s="99" customFormat="1" x14ac:dyDescent="0.25">
      <c r="W153" s="160"/>
      <c r="X153" s="160"/>
      <c r="Y153" s="167"/>
      <c r="Z153" s="167"/>
      <c r="AA153" s="167"/>
      <c r="AB153" s="167"/>
      <c r="AC153" s="167"/>
      <c r="AD153" s="167"/>
      <c r="AE153" s="167"/>
      <c r="AF153" s="167"/>
      <c r="AG153" s="167"/>
      <c r="AH153" s="167"/>
      <c r="AI153" s="167"/>
      <c r="AJ153" s="167"/>
      <c r="AK153" s="167"/>
      <c r="AL153" s="167"/>
      <c r="AM153" s="167"/>
      <c r="AN153" s="167"/>
      <c r="AO153" s="167"/>
      <c r="AP153" s="160"/>
      <c r="AQ153" s="160"/>
      <c r="AR153" s="160"/>
      <c r="AS153" s="160"/>
      <c r="AT153" s="160"/>
    </row>
    <row r="154" spans="23:46" s="99" customFormat="1" x14ac:dyDescent="0.25">
      <c r="W154" s="160"/>
      <c r="X154" s="160"/>
      <c r="Y154" s="167"/>
      <c r="Z154" s="167"/>
      <c r="AA154" s="167"/>
      <c r="AB154" s="167"/>
      <c r="AC154" s="167"/>
      <c r="AD154" s="167"/>
      <c r="AE154" s="167"/>
      <c r="AF154" s="167"/>
      <c r="AG154" s="167"/>
      <c r="AH154" s="167"/>
      <c r="AI154" s="167"/>
      <c r="AJ154" s="167"/>
      <c r="AK154" s="167"/>
      <c r="AL154" s="167"/>
      <c r="AM154" s="167"/>
      <c r="AN154" s="167"/>
      <c r="AO154" s="167"/>
      <c r="AP154" s="160"/>
      <c r="AQ154" s="160"/>
      <c r="AR154" s="160"/>
      <c r="AS154" s="160"/>
      <c r="AT154" s="160"/>
    </row>
    <row r="155" spans="23:46" s="99" customFormat="1" x14ac:dyDescent="0.25">
      <c r="W155" s="160"/>
      <c r="X155" s="160"/>
      <c r="Y155" s="167"/>
      <c r="Z155" s="167"/>
      <c r="AA155" s="167"/>
      <c r="AB155" s="167"/>
      <c r="AC155" s="167"/>
      <c r="AD155" s="167"/>
      <c r="AE155" s="167"/>
      <c r="AF155" s="167"/>
      <c r="AG155" s="167"/>
      <c r="AH155" s="167"/>
      <c r="AI155" s="167"/>
      <c r="AJ155" s="167"/>
      <c r="AK155" s="167"/>
      <c r="AL155" s="167"/>
      <c r="AM155" s="167"/>
      <c r="AN155" s="167"/>
      <c r="AO155" s="167"/>
      <c r="AP155" s="160"/>
      <c r="AQ155" s="160"/>
      <c r="AR155" s="160"/>
      <c r="AS155" s="160"/>
      <c r="AT155" s="160"/>
    </row>
    <row r="156" spans="23:46" s="99" customFormat="1" x14ac:dyDescent="0.25">
      <c r="W156" s="160"/>
      <c r="X156" s="160"/>
      <c r="Y156" s="167"/>
      <c r="Z156" s="167"/>
      <c r="AA156" s="167"/>
      <c r="AB156" s="167"/>
      <c r="AC156" s="167"/>
      <c r="AD156" s="167"/>
      <c r="AE156" s="167"/>
      <c r="AF156" s="167"/>
      <c r="AG156" s="167"/>
      <c r="AH156" s="167"/>
      <c r="AI156" s="167"/>
      <c r="AJ156" s="167"/>
      <c r="AK156" s="167"/>
      <c r="AL156" s="167"/>
      <c r="AM156" s="167"/>
      <c r="AN156" s="167"/>
      <c r="AO156" s="167"/>
      <c r="AP156" s="160"/>
      <c r="AQ156" s="160"/>
      <c r="AR156" s="160"/>
      <c r="AS156" s="160"/>
      <c r="AT156" s="160"/>
    </row>
    <row r="157" spans="23:46" s="99" customFormat="1" x14ac:dyDescent="0.25">
      <c r="W157" s="160"/>
      <c r="X157" s="160"/>
      <c r="Y157" s="167"/>
      <c r="Z157" s="167"/>
      <c r="AA157" s="167"/>
      <c r="AB157" s="167"/>
      <c r="AC157" s="167"/>
      <c r="AD157" s="167"/>
      <c r="AE157" s="167"/>
      <c r="AF157" s="167"/>
      <c r="AG157" s="167"/>
      <c r="AH157" s="167"/>
      <c r="AI157" s="167"/>
      <c r="AJ157" s="167"/>
      <c r="AK157" s="167"/>
      <c r="AL157" s="167"/>
      <c r="AM157" s="167"/>
      <c r="AN157" s="167"/>
      <c r="AO157" s="167"/>
      <c r="AP157" s="160"/>
      <c r="AQ157" s="160"/>
      <c r="AR157" s="160"/>
      <c r="AS157" s="160"/>
      <c r="AT157" s="160"/>
    </row>
    <row r="158" spans="23:46" s="99" customFormat="1" x14ac:dyDescent="0.25">
      <c r="W158" s="160"/>
      <c r="X158" s="160"/>
      <c r="Y158" s="167"/>
      <c r="Z158" s="167"/>
      <c r="AA158" s="167"/>
      <c r="AB158" s="167"/>
      <c r="AC158" s="167"/>
      <c r="AD158" s="167"/>
      <c r="AE158" s="167"/>
      <c r="AF158" s="167"/>
      <c r="AG158" s="167"/>
      <c r="AH158" s="167"/>
      <c r="AI158" s="167"/>
      <c r="AJ158" s="167"/>
      <c r="AK158" s="167"/>
      <c r="AL158" s="167"/>
      <c r="AM158" s="167"/>
      <c r="AN158" s="167"/>
      <c r="AO158" s="167"/>
      <c r="AP158" s="160"/>
      <c r="AQ158" s="160"/>
      <c r="AR158" s="160"/>
      <c r="AS158" s="160"/>
      <c r="AT158" s="160"/>
    </row>
    <row r="159" spans="23:46" s="99" customFormat="1" x14ac:dyDescent="0.25">
      <c r="W159" s="160"/>
      <c r="X159" s="160"/>
      <c r="Y159" s="167"/>
      <c r="Z159" s="167"/>
      <c r="AA159" s="167"/>
      <c r="AB159" s="167"/>
      <c r="AC159" s="167"/>
      <c r="AD159" s="167"/>
      <c r="AE159" s="167"/>
      <c r="AF159" s="167"/>
      <c r="AG159" s="167"/>
      <c r="AH159" s="167"/>
      <c r="AI159" s="167"/>
      <c r="AJ159" s="167"/>
      <c r="AK159" s="167"/>
      <c r="AL159" s="167"/>
      <c r="AM159" s="167"/>
      <c r="AN159" s="167"/>
      <c r="AO159" s="167"/>
      <c r="AP159" s="160"/>
      <c r="AQ159" s="160"/>
      <c r="AR159" s="160"/>
      <c r="AS159" s="160"/>
      <c r="AT159" s="160"/>
    </row>
    <row r="160" spans="23:46" s="99" customFormat="1" x14ac:dyDescent="0.25">
      <c r="W160" s="160"/>
      <c r="X160" s="160"/>
      <c r="Y160" s="167"/>
      <c r="Z160" s="167"/>
      <c r="AA160" s="167"/>
      <c r="AB160" s="167"/>
      <c r="AC160" s="167"/>
      <c r="AD160" s="167"/>
      <c r="AE160" s="167"/>
      <c r="AF160" s="167"/>
      <c r="AG160" s="167"/>
      <c r="AH160" s="167"/>
      <c r="AI160" s="167"/>
      <c r="AJ160" s="167"/>
      <c r="AK160" s="167"/>
      <c r="AL160" s="167"/>
      <c r="AM160" s="167"/>
      <c r="AN160" s="167"/>
      <c r="AO160" s="167"/>
      <c r="AP160" s="160"/>
      <c r="AQ160" s="160"/>
      <c r="AR160" s="160"/>
      <c r="AS160" s="160"/>
      <c r="AT160" s="160"/>
    </row>
    <row r="161" spans="23:46" s="99" customFormat="1" x14ac:dyDescent="0.25">
      <c r="W161" s="160"/>
      <c r="X161" s="160"/>
      <c r="Y161" s="167"/>
      <c r="Z161" s="167"/>
      <c r="AA161" s="167"/>
      <c r="AB161" s="167"/>
      <c r="AC161" s="167"/>
      <c r="AD161" s="167"/>
      <c r="AE161" s="167"/>
      <c r="AF161" s="167"/>
      <c r="AG161" s="167"/>
      <c r="AH161" s="167"/>
      <c r="AI161" s="167"/>
      <c r="AJ161" s="167"/>
      <c r="AK161" s="167"/>
      <c r="AL161" s="167"/>
      <c r="AM161" s="167"/>
      <c r="AN161" s="167"/>
      <c r="AO161" s="167"/>
      <c r="AP161" s="160"/>
      <c r="AQ161" s="160"/>
      <c r="AR161" s="160"/>
      <c r="AS161" s="160"/>
      <c r="AT161" s="160"/>
    </row>
    <row r="162" spans="23:46" s="99" customFormat="1" x14ac:dyDescent="0.25">
      <c r="W162" s="160"/>
      <c r="X162" s="160"/>
      <c r="Y162" s="167"/>
      <c r="Z162" s="167"/>
      <c r="AA162" s="167"/>
      <c r="AB162" s="167"/>
      <c r="AC162" s="167"/>
      <c r="AD162" s="167"/>
      <c r="AE162" s="167"/>
      <c r="AF162" s="167"/>
      <c r="AG162" s="167"/>
      <c r="AH162" s="167"/>
      <c r="AI162" s="167"/>
      <c r="AJ162" s="167"/>
      <c r="AK162" s="167"/>
      <c r="AL162" s="167"/>
      <c r="AM162" s="167"/>
      <c r="AN162" s="167"/>
      <c r="AO162" s="167"/>
      <c r="AP162" s="160"/>
      <c r="AQ162" s="160"/>
      <c r="AR162" s="160"/>
      <c r="AS162" s="160"/>
      <c r="AT162" s="160"/>
    </row>
    <row r="163" spans="23:46" s="99" customFormat="1" x14ac:dyDescent="0.25">
      <c r="W163" s="160"/>
      <c r="X163" s="160"/>
      <c r="Y163" s="167"/>
      <c r="Z163" s="167"/>
      <c r="AA163" s="167"/>
      <c r="AB163" s="167"/>
      <c r="AC163" s="167"/>
      <c r="AD163" s="167"/>
      <c r="AE163" s="167"/>
      <c r="AF163" s="167"/>
      <c r="AG163" s="167"/>
      <c r="AH163" s="167"/>
      <c r="AI163" s="167"/>
      <c r="AJ163" s="167"/>
      <c r="AK163" s="167"/>
      <c r="AL163" s="167"/>
      <c r="AM163" s="167"/>
      <c r="AN163" s="167"/>
      <c r="AO163" s="167"/>
      <c r="AP163" s="160"/>
      <c r="AQ163" s="160"/>
      <c r="AR163" s="160"/>
      <c r="AS163" s="160"/>
      <c r="AT163" s="160"/>
    </row>
    <row r="164" spans="23:46" s="99" customFormat="1" x14ac:dyDescent="0.25">
      <c r="W164" s="160"/>
      <c r="X164" s="160"/>
      <c r="Y164" s="167"/>
      <c r="Z164" s="167"/>
      <c r="AA164" s="167"/>
      <c r="AB164" s="167"/>
      <c r="AC164" s="167"/>
      <c r="AD164" s="167"/>
      <c r="AE164" s="167"/>
      <c r="AF164" s="167"/>
      <c r="AG164" s="167"/>
      <c r="AH164" s="167"/>
      <c r="AI164" s="167"/>
      <c r="AJ164" s="167"/>
      <c r="AK164" s="167"/>
      <c r="AL164" s="167"/>
      <c r="AM164" s="167"/>
      <c r="AN164" s="167"/>
      <c r="AO164" s="167"/>
      <c r="AP164" s="160"/>
      <c r="AQ164" s="160"/>
      <c r="AR164" s="160"/>
      <c r="AS164" s="160"/>
      <c r="AT164" s="160"/>
    </row>
    <row r="165" spans="23:46" s="99" customFormat="1" x14ac:dyDescent="0.25">
      <c r="W165" s="160"/>
      <c r="X165" s="160"/>
      <c r="Y165" s="167"/>
      <c r="Z165" s="167"/>
      <c r="AA165" s="167"/>
      <c r="AB165" s="167"/>
      <c r="AC165" s="167"/>
      <c r="AD165" s="167"/>
      <c r="AE165" s="167"/>
      <c r="AF165" s="167"/>
      <c r="AG165" s="167"/>
      <c r="AH165" s="167"/>
      <c r="AI165" s="167"/>
      <c r="AJ165" s="167"/>
      <c r="AK165" s="167"/>
      <c r="AL165" s="167"/>
      <c r="AM165" s="167"/>
      <c r="AN165" s="167"/>
      <c r="AO165" s="167"/>
      <c r="AP165" s="160"/>
      <c r="AQ165" s="160"/>
      <c r="AR165" s="160"/>
      <c r="AS165" s="160"/>
      <c r="AT165" s="160"/>
    </row>
    <row r="166" spans="23:46" s="99" customFormat="1" x14ac:dyDescent="0.25">
      <c r="W166" s="160"/>
      <c r="X166" s="160"/>
      <c r="Y166" s="167"/>
      <c r="Z166" s="167"/>
      <c r="AA166" s="167"/>
      <c r="AB166" s="167"/>
      <c r="AC166" s="167"/>
      <c r="AD166" s="167"/>
      <c r="AE166" s="167"/>
      <c r="AF166" s="167"/>
      <c r="AG166" s="167"/>
      <c r="AH166" s="167"/>
      <c r="AI166" s="167"/>
      <c r="AJ166" s="167"/>
      <c r="AK166" s="167"/>
      <c r="AL166" s="167"/>
      <c r="AM166" s="167"/>
      <c r="AN166" s="167"/>
      <c r="AO166" s="167"/>
      <c r="AP166" s="160"/>
      <c r="AQ166" s="160"/>
      <c r="AR166" s="160"/>
      <c r="AS166" s="160"/>
      <c r="AT166" s="160"/>
    </row>
    <row r="167" spans="23:46" s="99" customFormat="1" x14ac:dyDescent="0.25">
      <c r="W167" s="160"/>
      <c r="X167" s="160"/>
      <c r="Y167" s="167"/>
      <c r="Z167" s="167"/>
      <c r="AA167" s="167"/>
      <c r="AB167" s="167"/>
      <c r="AC167" s="167"/>
      <c r="AD167" s="167"/>
      <c r="AE167" s="167"/>
      <c r="AF167" s="167"/>
      <c r="AG167" s="167"/>
      <c r="AH167" s="167"/>
      <c r="AI167" s="167"/>
      <c r="AJ167" s="167"/>
      <c r="AK167" s="167"/>
      <c r="AL167" s="167"/>
      <c r="AM167" s="167"/>
      <c r="AN167" s="167"/>
      <c r="AO167" s="167"/>
      <c r="AP167" s="160"/>
      <c r="AQ167" s="160"/>
      <c r="AR167" s="160"/>
      <c r="AS167" s="160"/>
      <c r="AT167" s="160"/>
    </row>
    <row r="168" spans="23:46" s="99" customFormat="1" x14ac:dyDescent="0.25">
      <c r="W168" s="160"/>
      <c r="X168" s="160"/>
      <c r="Y168" s="167"/>
      <c r="Z168" s="167"/>
      <c r="AA168" s="167"/>
      <c r="AB168" s="167"/>
      <c r="AC168" s="167"/>
      <c r="AD168" s="167"/>
      <c r="AE168" s="167"/>
      <c r="AF168" s="167"/>
      <c r="AG168" s="167"/>
      <c r="AH168" s="167"/>
      <c r="AI168" s="167"/>
      <c r="AJ168" s="167"/>
      <c r="AK168" s="167"/>
      <c r="AL168" s="167"/>
      <c r="AM168" s="167"/>
      <c r="AN168" s="167"/>
      <c r="AO168" s="167"/>
      <c r="AP168" s="160"/>
      <c r="AQ168" s="160"/>
      <c r="AR168" s="160"/>
      <c r="AS168" s="160"/>
      <c r="AT168" s="160"/>
    </row>
    <row r="169" spans="23:46" s="99" customFormat="1" x14ac:dyDescent="0.25">
      <c r="W169" s="160"/>
      <c r="X169" s="160"/>
      <c r="Y169" s="167"/>
      <c r="Z169" s="167"/>
      <c r="AA169" s="167"/>
      <c r="AB169" s="167"/>
      <c r="AC169" s="167"/>
      <c r="AD169" s="167"/>
      <c r="AE169" s="167"/>
      <c r="AF169" s="167"/>
      <c r="AG169" s="167"/>
      <c r="AH169" s="167"/>
      <c r="AI169" s="167"/>
      <c r="AJ169" s="167"/>
      <c r="AK169" s="167"/>
      <c r="AL169" s="167"/>
      <c r="AM169" s="167"/>
      <c r="AN169" s="167"/>
      <c r="AO169" s="167"/>
      <c r="AP169" s="160"/>
      <c r="AQ169" s="160"/>
      <c r="AR169" s="160"/>
      <c r="AS169" s="160"/>
      <c r="AT169" s="160"/>
    </row>
    <row r="170" spans="23:46" s="99" customFormat="1" x14ac:dyDescent="0.25">
      <c r="W170" s="160"/>
      <c r="X170" s="160"/>
      <c r="Y170" s="167"/>
      <c r="Z170" s="167"/>
      <c r="AA170" s="167"/>
      <c r="AB170" s="167"/>
      <c r="AC170" s="167"/>
      <c r="AD170" s="167"/>
      <c r="AE170" s="167"/>
      <c r="AF170" s="167"/>
      <c r="AG170" s="167"/>
      <c r="AH170" s="167"/>
      <c r="AI170" s="167"/>
      <c r="AJ170" s="167"/>
      <c r="AK170" s="167"/>
      <c r="AL170" s="167"/>
      <c r="AM170" s="167"/>
      <c r="AN170" s="167"/>
      <c r="AO170" s="167"/>
      <c r="AP170" s="160"/>
      <c r="AQ170" s="160"/>
      <c r="AR170" s="160"/>
      <c r="AS170" s="160"/>
      <c r="AT170" s="160"/>
    </row>
    <row r="171" spans="23:46" s="99" customFormat="1" x14ac:dyDescent="0.25">
      <c r="W171" s="160"/>
      <c r="X171" s="160"/>
      <c r="Y171" s="167"/>
      <c r="Z171" s="167"/>
      <c r="AA171" s="167"/>
      <c r="AB171" s="167"/>
      <c r="AC171" s="167"/>
      <c r="AD171" s="167"/>
      <c r="AE171" s="167"/>
      <c r="AF171" s="167"/>
      <c r="AG171" s="167"/>
      <c r="AH171" s="167"/>
      <c r="AI171" s="167"/>
      <c r="AJ171" s="167"/>
      <c r="AK171" s="167"/>
      <c r="AL171" s="167"/>
      <c r="AM171" s="167"/>
      <c r="AN171" s="167"/>
      <c r="AO171" s="167"/>
      <c r="AP171" s="160"/>
      <c r="AQ171" s="160"/>
      <c r="AR171" s="160"/>
      <c r="AS171" s="160"/>
      <c r="AT171" s="160"/>
    </row>
    <row r="172" spans="23:46" s="99" customFormat="1" x14ac:dyDescent="0.25">
      <c r="W172" s="160"/>
      <c r="X172" s="160"/>
      <c r="Y172" s="167"/>
      <c r="Z172" s="167"/>
      <c r="AA172" s="167"/>
      <c r="AB172" s="167"/>
      <c r="AC172" s="167"/>
      <c r="AD172" s="167"/>
      <c r="AE172" s="167"/>
      <c r="AF172" s="167"/>
      <c r="AG172" s="167"/>
      <c r="AH172" s="167"/>
      <c r="AI172" s="167"/>
      <c r="AJ172" s="167"/>
      <c r="AK172" s="167"/>
      <c r="AL172" s="167"/>
      <c r="AM172" s="167"/>
      <c r="AN172" s="167"/>
      <c r="AO172" s="167"/>
      <c r="AP172" s="160"/>
      <c r="AQ172" s="160"/>
      <c r="AR172" s="160"/>
      <c r="AS172" s="160"/>
      <c r="AT172" s="160"/>
    </row>
    <row r="173" spans="23:46" s="99" customFormat="1" x14ac:dyDescent="0.25">
      <c r="W173" s="160"/>
      <c r="X173" s="160"/>
      <c r="Y173" s="167"/>
      <c r="Z173" s="167"/>
      <c r="AA173" s="167"/>
      <c r="AB173" s="167"/>
      <c r="AC173" s="167"/>
      <c r="AD173" s="167"/>
      <c r="AE173" s="167"/>
      <c r="AF173" s="167"/>
      <c r="AG173" s="167"/>
      <c r="AH173" s="167"/>
      <c r="AI173" s="167"/>
      <c r="AJ173" s="167"/>
      <c r="AK173" s="167"/>
      <c r="AL173" s="167"/>
      <c r="AM173" s="167"/>
      <c r="AN173" s="167"/>
      <c r="AO173" s="167"/>
      <c r="AP173" s="160"/>
      <c r="AQ173" s="160"/>
      <c r="AR173" s="160"/>
      <c r="AS173" s="160"/>
      <c r="AT173" s="160"/>
    </row>
    <row r="174" spans="23:46" s="99" customFormat="1" x14ac:dyDescent="0.25">
      <c r="W174" s="160"/>
      <c r="X174" s="160"/>
      <c r="Y174" s="167"/>
      <c r="Z174" s="167"/>
      <c r="AA174" s="167"/>
      <c r="AB174" s="167"/>
      <c r="AC174" s="167"/>
      <c r="AD174" s="167"/>
      <c r="AE174" s="167"/>
      <c r="AF174" s="167"/>
      <c r="AG174" s="167"/>
      <c r="AH174" s="167"/>
      <c r="AI174" s="167"/>
      <c r="AJ174" s="167"/>
      <c r="AK174" s="167"/>
      <c r="AL174" s="167"/>
      <c r="AM174" s="167"/>
      <c r="AN174" s="167"/>
      <c r="AO174" s="167"/>
      <c r="AP174" s="160"/>
      <c r="AQ174" s="160"/>
      <c r="AR174" s="160"/>
      <c r="AS174" s="160"/>
      <c r="AT174" s="160"/>
    </row>
    <row r="175" spans="23:46" s="99" customFormat="1" x14ac:dyDescent="0.25">
      <c r="W175" s="160"/>
      <c r="X175" s="160"/>
      <c r="Y175" s="167"/>
      <c r="Z175" s="167"/>
      <c r="AA175" s="167"/>
      <c r="AB175" s="167"/>
      <c r="AC175" s="167"/>
      <c r="AD175" s="167"/>
      <c r="AE175" s="167"/>
      <c r="AF175" s="167"/>
      <c r="AG175" s="167"/>
      <c r="AH175" s="167"/>
      <c r="AI175" s="167"/>
      <c r="AJ175" s="167"/>
      <c r="AK175" s="167"/>
      <c r="AL175" s="167"/>
      <c r="AM175" s="167"/>
      <c r="AN175" s="167"/>
      <c r="AO175" s="167"/>
      <c r="AP175" s="160"/>
      <c r="AQ175" s="160"/>
      <c r="AR175" s="160"/>
      <c r="AS175" s="160"/>
      <c r="AT175" s="160"/>
    </row>
    <row r="176" spans="23:46" s="99" customFormat="1" x14ac:dyDescent="0.25">
      <c r="W176" s="160"/>
      <c r="X176" s="160"/>
      <c r="Y176" s="167"/>
      <c r="Z176" s="167"/>
      <c r="AA176" s="167"/>
      <c r="AB176" s="167"/>
      <c r="AC176" s="167"/>
      <c r="AD176" s="167"/>
      <c r="AE176" s="167"/>
      <c r="AF176" s="167"/>
      <c r="AG176" s="167"/>
      <c r="AH176" s="167"/>
      <c r="AI176" s="167"/>
      <c r="AJ176" s="167"/>
      <c r="AK176" s="167"/>
      <c r="AL176" s="167"/>
      <c r="AM176" s="167"/>
      <c r="AN176" s="167"/>
      <c r="AO176" s="167"/>
      <c r="AP176" s="160"/>
      <c r="AQ176" s="160"/>
      <c r="AR176" s="160"/>
      <c r="AS176" s="160"/>
      <c r="AT176" s="160"/>
    </row>
    <row r="177" spans="23:46" s="99" customFormat="1" x14ac:dyDescent="0.25">
      <c r="W177" s="160"/>
      <c r="X177" s="160"/>
      <c r="Y177" s="167"/>
      <c r="Z177" s="167"/>
      <c r="AA177" s="167"/>
      <c r="AB177" s="167"/>
      <c r="AC177" s="167"/>
      <c r="AD177" s="167"/>
      <c r="AE177" s="167"/>
      <c r="AF177" s="167"/>
      <c r="AG177" s="167"/>
      <c r="AH177" s="167"/>
      <c r="AI177" s="167"/>
      <c r="AJ177" s="167"/>
      <c r="AK177" s="167"/>
      <c r="AL177" s="167"/>
      <c r="AM177" s="167"/>
      <c r="AN177" s="167"/>
      <c r="AO177" s="167"/>
      <c r="AP177" s="160"/>
      <c r="AQ177" s="160"/>
      <c r="AR177" s="160"/>
      <c r="AS177" s="160"/>
      <c r="AT177" s="160"/>
    </row>
    <row r="178" spans="23:46" s="99" customFormat="1" x14ac:dyDescent="0.25">
      <c r="W178" s="160"/>
      <c r="X178" s="160"/>
      <c r="Y178" s="167"/>
      <c r="Z178" s="167"/>
      <c r="AA178" s="167"/>
      <c r="AB178" s="167"/>
      <c r="AC178" s="167"/>
      <c r="AD178" s="167"/>
      <c r="AE178" s="167"/>
      <c r="AF178" s="167"/>
      <c r="AG178" s="167"/>
      <c r="AH178" s="167"/>
      <c r="AI178" s="167"/>
      <c r="AJ178" s="167"/>
      <c r="AK178" s="167"/>
      <c r="AL178" s="167"/>
      <c r="AM178" s="167"/>
      <c r="AN178" s="167"/>
      <c r="AO178" s="167"/>
      <c r="AP178" s="160"/>
      <c r="AQ178" s="160"/>
      <c r="AR178" s="160"/>
      <c r="AS178" s="160"/>
      <c r="AT178" s="160"/>
    </row>
    <row r="179" spans="23:46" s="99" customFormat="1" x14ac:dyDescent="0.25">
      <c r="W179" s="160"/>
      <c r="X179" s="160"/>
      <c r="Y179" s="167"/>
      <c r="Z179" s="167"/>
      <c r="AA179" s="167"/>
      <c r="AB179" s="167"/>
      <c r="AC179" s="167"/>
      <c r="AD179" s="167"/>
      <c r="AE179" s="167"/>
      <c r="AF179" s="167"/>
      <c r="AG179" s="167"/>
      <c r="AH179" s="167"/>
      <c r="AI179" s="167"/>
      <c r="AJ179" s="167"/>
      <c r="AK179" s="167"/>
      <c r="AL179" s="167"/>
      <c r="AM179" s="167"/>
      <c r="AN179" s="167"/>
      <c r="AO179" s="167"/>
      <c r="AP179" s="160"/>
      <c r="AQ179" s="160"/>
      <c r="AR179" s="160"/>
      <c r="AS179" s="160"/>
      <c r="AT179" s="160"/>
    </row>
    <row r="180" spans="23:46" s="99" customFormat="1" x14ac:dyDescent="0.25">
      <c r="W180" s="160"/>
      <c r="X180" s="160"/>
      <c r="Y180" s="167"/>
      <c r="Z180" s="167"/>
      <c r="AA180" s="167"/>
      <c r="AB180" s="167"/>
      <c r="AC180" s="167"/>
      <c r="AD180" s="167"/>
      <c r="AE180" s="167"/>
      <c r="AF180" s="167"/>
      <c r="AG180" s="167"/>
      <c r="AH180" s="167"/>
      <c r="AI180" s="167"/>
      <c r="AJ180" s="167"/>
      <c r="AK180" s="167"/>
      <c r="AL180" s="167"/>
      <c r="AM180" s="167"/>
      <c r="AN180" s="167"/>
      <c r="AO180" s="167"/>
      <c r="AP180" s="160"/>
      <c r="AQ180" s="160"/>
      <c r="AR180" s="160"/>
      <c r="AS180" s="160"/>
      <c r="AT180" s="160"/>
    </row>
    <row r="181" spans="23:46" s="99" customFormat="1" x14ac:dyDescent="0.25">
      <c r="W181" s="160"/>
      <c r="X181" s="160"/>
      <c r="Y181" s="167"/>
      <c r="Z181" s="167"/>
      <c r="AA181" s="167"/>
      <c r="AB181" s="167"/>
      <c r="AC181" s="167"/>
      <c r="AD181" s="167"/>
      <c r="AE181" s="167"/>
      <c r="AF181" s="167"/>
      <c r="AG181" s="167"/>
      <c r="AH181" s="167"/>
      <c r="AI181" s="167"/>
      <c r="AJ181" s="167"/>
      <c r="AK181" s="167"/>
      <c r="AL181" s="167"/>
      <c r="AM181" s="167"/>
      <c r="AN181" s="167"/>
      <c r="AO181" s="167"/>
      <c r="AP181" s="160"/>
      <c r="AQ181" s="160"/>
      <c r="AR181" s="160"/>
      <c r="AS181" s="160"/>
      <c r="AT181" s="160"/>
    </row>
    <row r="182" spans="23:46" s="99" customFormat="1" x14ac:dyDescent="0.25">
      <c r="W182" s="160"/>
      <c r="X182" s="160"/>
      <c r="Y182" s="167"/>
      <c r="Z182" s="167"/>
      <c r="AA182" s="167"/>
      <c r="AB182" s="167"/>
      <c r="AC182" s="167"/>
      <c r="AD182" s="167"/>
      <c r="AE182" s="167"/>
      <c r="AF182" s="167"/>
      <c r="AG182" s="167"/>
      <c r="AH182" s="167"/>
      <c r="AI182" s="167"/>
      <c r="AJ182" s="167"/>
      <c r="AK182" s="167"/>
      <c r="AL182" s="167"/>
      <c r="AM182" s="167"/>
      <c r="AN182" s="167"/>
      <c r="AO182" s="167"/>
      <c r="AP182" s="160"/>
      <c r="AQ182" s="160"/>
      <c r="AR182" s="160"/>
      <c r="AS182" s="160"/>
      <c r="AT182" s="160"/>
    </row>
    <row r="183" spans="23:46" s="99" customFormat="1" x14ac:dyDescent="0.25">
      <c r="W183" s="160"/>
      <c r="X183" s="160"/>
      <c r="Y183" s="167"/>
      <c r="Z183" s="167"/>
      <c r="AA183" s="167"/>
      <c r="AB183" s="167"/>
      <c r="AC183" s="167"/>
      <c r="AD183" s="167"/>
      <c r="AE183" s="167"/>
      <c r="AF183" s="167"/>
      <c r="AG183" s="167"/>
      <c r="AH183" s="167"/>
      <c r="AI183" s="167"/>
      <c r="AJ183" s="167"/>
      <c r="AK183" s="167"/>
      <c r="AL183" s="167"/>
      <c r="AM183" s="167"/>
      <c r="AN183" s="167"/>
      <c r="AO183" s="167"/>
      <c r="AP183" s="160"/>
      <c r="AQ183" s="160"/>
      <c r="AR183" s="160"/>
      <c r="AS183" s="160"/>
      <c r="AT183" s="160"/>
    </row>
    <row r="184" spans="23:46" s="99" customFormat="1" x14ac:dyDescent="0.25">
      <c r="W184" s="160"/>
      <c r="X184" s="160"/>
      <c r="Y184" s="167"/>
      <c r="Z184" s="167"/>
      <c r="AA184" s="167"/>
      <c r="AB184" s="167"/>
      <c r="AC184" s="167"/>
      <c r="AD184" s="167"/>
      <c r="AE184" s="167"/>
      <c r="AF184" s="167"/>
      <c r="AG184" s="167"/>
      <c r="AH184" s="167"/>
      <c r="AI184" s="167"/>
      <c r="AJ184" s="167"/>
      <c r="AK184" s="167"/>
      <c r="AL184" s="167"/>
      <c r="AM184" s="167"/>
      <c r="AN184" s="167"/>
      <c r="AO184" s="167"/>
      <c r="AP184" s="160"/>
      <c r="AQ184" s="160"/>
      <c r="AR184" s="160"/>
      <c r="AS184" s="160"/>
      <c r="AT184" s="160"/>
    </row>
    <row r="185" spans="23:46" s="99" customFormat="1" x14ac:dyDescent="0.25">
      <c r="W185" s="160"/>
      <c r="X185" s="160"/>
      <c r="Y185" s="167"/>
      <c r="Z185" s="167"/>
      <c r="AA185" s="167"/>
      <c r="AB185" s="167"/>
      <c r="AC185" s="167"/>
      <c r="AD185" s="167"/>
      <c r="AE185" s="167"/>
      <c r="AF185" s="167"/>
      <c r="AG185" s="167"/>
      <c r="AH185" s="167"/>
      <c r="AI185" s="167"/>
      <c r="AJ185" s="167"/>
      <c r="AK185" s="167"/>
      <c r="AL185" s="167"/>
      <c r="AM185" s="167"/>
      <c r="AN185" s="167"/>
      <c r="AO185" s="167"/>
      <c r="AP185" s="160"/>
      <c r="AQ185" s="160"/>
      <c r="AR185" s="160"/>
      <c r="AS185" s="160"/>
      <c r="AT185" s="160"/>
    </row>
    <row r="186" spans="23:46" s="99" customFormat="1" x14ac:dyDescent="0.25">
      <c r="W186" s="160"/>
      <c r="X186" s="160"/>
      <c r="Y186" s="167"/>
      <c r="Z186" s="167"/>
      <c r="AA186" s="167"/>
      <c r="AB186" s="167"/>
      <c r="AC186" s="167"/>
      <c r="AD186" s="167"/>
      <c r="AE186" s="167"/>
      <c r="AF186" s="167"/>
      <c r="AG186" s="167"/>
      <c r="AH186" s="167"/>
      <c r="AI186" s="167"/>
      <c r="AJ186" s="167"/>
      <c r="AK186" s="167"/>
      <c r="AL186" s="167"/>
      <c r="AM186" s="167"/>
      <c r="AN186" s="167"/>
      <c r="AO186" s="167"/>
      <c r="AP186" s="160"/>
      <c r="AQ186" s="160"/>
      <c r="AR186" s="160"/>
      <c r="AS186" s="160"/>
      <c r="AT186" s="160"/>
    </row>
    <row r="187" spans="23:46" s="99" customFormat="1" x14ac:dyDescent="0.25">
      <c r="W187" s="160"/>
      <c r="X187" s="160"/>
      <c r="Y187" s="167"/>
      <c r="Z187" s="167"/>
      <c r="AA187" s="167"/>
      <c r="AB187" s="167"/>
      <c r="AC187" s="167"/>
      <c r="AD187" s="167"/>
      <c r="AE187" s="167"/>
      <c r="AF187" s="167"/>
      <c r="AG187" s="167"/>
      <c r="AH187" s="167"/>
      <c r="AI187" s="167"/>
      <c r="AJ187" s="167"/>
      <c r="AK187" s="167"/>
      <c r="AL187" s="167"/>
      <c r="AM187" s="167"/>
      <c r="AN187" s="167"/>
      <c r="AO187" s="167"/>
      <c r="AP187" s="160"/>
      <c r="AQ187" s="160"/>
      <c r="AR187" s="160"/>
      <c r="AS187" s="160"/>
      <c r="AT187" s="160"/>
    </row>
    <row r="188" spans="23:46" s="99" customFormat="1" x14ac:dyDescent="0.25">
      <c r="W188" s="160"/>
      <c r="X188" s="160"/>
      <c r="Y188" s="167"/>
      <c r="Z188" s="167"/>
      <c r="AA188" s="167"/>
      <c r="AB188" s="167"/>
      <c r="AC188" s="167"/>
      <c r="AD188" s="167"/>
      <c r="AE188" s="167"/>
      <c r="AF188" s="167"/>
      <c r="AG188" s="167"/>
      <c r="AH188" s="167"/>
      <c r="AI188" s="167"/>
      <c r="AJ188" s="167"/>
      <c r="AK188" s="167"/>
      <c r="AL188" s="167"/>
      <c r="AM188" s="167"/>
      <c r="AN188" s="167"/>
      <c r="AO188" s="167"/>
      <c r="AP188" s="160"/>
      <c r="AQ188" s="160"/>
      <c r="AR188" s="160"/>
      <c r="AS188" s="160"/>
      <c r="AT188" s="160"/>
    </row>
    <row r="189" spans="23:46" s="99" customFormat="1" x14ac:dyDescent="0.25">
      <c r="W189" s="160"/>
      <c r="X189" s="160"/>
      <c r="Y189" s="167"/>
      <c r="Z189" s="167"/>
      <c r="AA189" s="167"/>
      <c r="AB189" s="167"/>
      <c r="AC189" s="167"/>
      <c r="AD189" s="167"/>
      <c r="AE189" s="167"/>
      <c r="AF189" s="167"/>
      <c r="AG189" s="167"/>
      <c r="AH189" s="167"/>
      <c r="AI189" s="167"/>
      <c r="AJ189" s="167"/>
      <c r="AK189" s="167"/>
      <c r="AL189" s="167"/>
      <c r="AM189" s="167"/>
      <c r="AN189" s="167"/>
      <c r="AO189" s="167"/>
      <c r="AP189" s="160"/>
      <c r="AQ189" s="160"/>
      <c r="AR189" s="160"/>
      <c r="AS189" s="160"/>
      <c r="AT189" s="160"/>
    </row>
    <row r="190" spans="23:46" s="99" customFormat="1" x14ac:dyDescent="0.25">
      <c r="W190" s="160"/>
      <c r="X190" s="160"/>
      <c r="Y190" s="167"/>
      <c r="Z190" s="167"/>
      <c r="AA190" s="167"/>
      <c r="AB190" s="167"/>
      <c r="AC190" s="167"/>
      <c r="AD190" s="167"/>
      <c r="AE190" s="167"/>
      <c r="AF190" s="167"/>
      <c r="AG190" s="167"/>
      <c r="AH190" s="167"/>
      <c r="AI190" s="167"/>
      <c r="AJ190" s="167"/>
      <c r="AK190" s="167"/>
      <c r="AL190" s="167"/>
      <c r="AM190" s="167"/>
      <c r="AN190" s="167"/>
      <c r="AO190" s="167"/>
      <c r="AP190" s="160"/>
      <c r="AQ190" s="160"/>
      <c r="AR190" s="160"/>
      <c r="AS190" s="160"/>
      <c r="AT190" s="160"/>
    </row>
    <row r="191" spans="23:46" s="99" customFormat="1" x14ac:dyDescent="0.25">
      <c r="W191" s="160"/>
      <c r="X191" s="160"/>
      <c r="Y191" s="167"/>
      <c r="Z191" s="167"/>
      <c r="AA191" s="167"/>
      <c r="AB191" s="167"/>
      <c r="AC191" s="167"/>
      <c r="AD191" s="167"/>
      <c r="AE191" s="167"/>
      <c r="AF191" s="167"/>
      <c r="AG191" s="167"/>
      <c r="AH191" s="167"/>
      <c r="AI191" s="167"/>
      <c r="AJ191" s="167"/>
      <c r="AK191" s="167"/>
      <c r="AL191" s="167"/>
      <c r="AM191" s="167"/>
      <c r="AN191" s="167"/>
      <c r="AO191" s="167"/>
      <c r="AP191" s="160"/>
      <c r="AQ191" s="160"/>
      <c r="AR191" s="160"/>
      <c r="AS191" s="160"/>
      <c r="AT191" s="160"/>
    </row>
    <row r="192" spans="23:46" s="99" customFormat="1" x14ac:dyDescent="0.25">
      <c r="W192" s="160"/>
      <c r="X192" s="160"/>
      <c r="Y192" s="167"/>
      <c r="Z192" s="167"/>
      <c r="AA192" s="167"/>
      <c r="AB192" s="167"/>
      <c r="AC192" s="167"/>
      <c r="AD192" s="167"/>
      <c r="AE192" s="167"/>
      <c r="AF192" s="167"/>
      <c r="AG192" s="167"/>
      <c r="AH192" s="167"/>
      <c r="AI192" s="167"/>
      <c r="AJ192" s="167"/>
      <c r="AK192" s="167"/>
      <c r="AL192" s="167"/>
      <c r="AM192" s="167"/>
      <c r="AN192" s="167"/>
      <c r="AO192" s="167"/>
      <c r="AP192" s="160"/>
      <c r="AQ192" s="160"/>
      <c r="AR192" s="160"/>
      <c r="AS192" s="160"/>
      <c r="AT192" s="160"/>
    </row>
    <row r="193" spans="23:46" s="99" customFormat="1" x14ac:dyDescent="0.25">
      <c r="W193" s="160"/>
      <c r="X193" s="160"/>
      <c r="Y193" s="167"/>
      <c r="Z193" s="167"/>
      <c r="AA193" s="167"/>
      <c r="AB193" s="167"/>
      <c r="AC193" s="167"/>
      <c r="AD193" s="167"/>
      <c r="AE193" s="167"/>
      <c r="AF193" s="167"/>
      <c r="AG193" s="167"/>
      <c r="AH193" s="167"/>
      <c r="AI193" s="167"/>
      <c r="AJ193" s="167"/>
      <c r="AK193" s="167"/>
      <c r="AL193" s="167"/>
      <c r="AM193" s="167"/>
      <c r="AN193" s="167"/>
      <c r="AO193" s="167"/>
      <c r="AP193" s="160"/>
      <c r="AQ193" s="160"/>
      <c r="AR193" s="160"/>
      <c r="AS193" s="160"/>
      <c r="AT193" s="160"/>
    </row>
    <row r="194" spans="23:46" s="99" customFormat="1" x14ac:dyDescent="0.25">
      <c r="W194" s="160"/>
      <c r="X194" s="160"/>
      <c r="Y194" s="167"/>
      <c r="Z194" s="167"/>
      <c r="AA194" s="167"/>
      <c r="AB194" s="167"/>
      <c r="AC194" s="167"/>
      <c r="AD194" s="167"/>
      <c r="AE194" s="167"/>
      <c r="AF194" s="167"/>
      <c r="AG194" s="167"/>
      <c r="AH194" s="167"/>
      <c r="AI194" s="167"/>
      <c r="AJ194" s="167"/>
      <c r="AK194" s="167"/>
      <c r="AL194" s="167"/>
      <c r="AM194" s="167"/>
      <c r="AN194" s="167"/>
      <c r="AO194" s="167"/>
      <c r="AP194" s="160"/>
      <c r="AQ194" s="160"/>
      <c r="AR194" s="160"/>
      <c r="AS194" s="160"/>
      <c r="AT194" s="160"/>
    </row>
    <row r="195" spans="23:46" s="99" customFormat="1" x14ac:dyDescent="0.25">
      <c r="W195" s="160"/>
      <c r="X195" s="160"/>
      <c r="Y195" s="167"/>
      <c r="Z195" s="167"/>
      <c r="AA195" s="167"/>
      <c r="AB195" s="167"/>
      <c r="AC195" s="167"/>
      <c r="AD195" s="167"/>
      <c r="AE195" s="167"/>
      <c r="AF195" s="167"/>
      <c r="AG195" s="167"/>
      <c r="AH195" s="167"/>
      <c r="AI195" s="167"/>
      <c r="AJ195" s="167"/>
      <c r="AK195" s="167"/>
      <c r="AL195" s="167"/>
      <c r="AM195" s="167"/>
      <c r="AN195" s="167"/>
      <c r="AO195" s="167"/>
      <c r="AP195" s="160"/>
      <c r="AQ195" s="160"/>
      <c r="AR195" s="160"/>
      <c r="AS195" s="160"/>
      <c r="AT195" s="160"/>
    </row>
    <row r="196" spans="23:46" s="99" customFormat="1" x14ac:dyDescent="0.25">
      <c r="W196" s="160"/>
      <c r="X196" s="160"/>
      <c r="Y196" s="167"/>
      <c r="Z196" s="167"/>
      <c r="AA196" s="167"/>
      <c r="AB196" s="167"/>
      <c r="AC196" s="167"/>
      <c r="AD196" s="167"/>
      <c r="AE196" s="167"/>
      <c r="AF196" s="167"/>
      <c r="AG196" s="167"/>
      <c r="AH196" s="167"/>
      <c r="AI196" s="167"/>
      <c r="AJ196" s="167"/>
      <c r="AK196" s="167"/>
      <c r="AL196" s="167"/>
      <c r="AM196" s="167"/>
      <c r="AN196" s="167"/>
      <c r="AO196" s="167"/>
      <c r="AP196" s="160"/>
      <c r="AQ196" s="160"/>
      <c r="AR196" s="160"/>
      <c r="AS196" s="160"/>
      <c r="AT196" s="160"/>
    </row>
    <row r="197" spans="23:46" s="99" customFormat="1" x14ac:dyDescent="0.25">
      <c r="W197" s="160"/>
      <c r="X197" s="160"/>
      <c r="Y197" s="167"/>
      <c r="Z197" s="167"/>
      <c r="AA197" s="167"/>
      <c r="AB197" s="167"/>
      <c r="AC197" s="167"/>
      <c r="AD197" s="167"/>
      <c r="AE197" s="167"/>
      <c r="AF197" s="167"/>
      <c r="AG197" s="167"/>
      <c r="AH197" s="167"/>
      <c r="AI197" s="167"/>
      <c r="AJ197" s="167"/>
      <c r="AK197" s="167"/>
      <c r="AL197" s="167"/>
      <c r="AM197" s="167"/>
      <c r="AN197" s="167"/>
      <c r="AO197" s="167"/>
      <c r="AP197" s="160"/>
      <c r="AQ197" s="160"/>
      <c r="AR197" s="160"/>
      <c r="AS197" s="160"/>
      <c r="AT197" s="160"/>
    </row>
    <row r="198" spans="23:46" s="99" customFormat="1" x14ac:dyDescent="0.25">
      <c r="W198" s="160"/>
      <c r="X198" s="160"/>
      <c r="Y198" s="167"/>
      <c r="Z198" s="167"/>
      <c r="AA198" s="167"/>
      <c r="AB198" s="167"/>
      <c r="AC198" s="167"/>
      <c r="AD198" s="167"/>
      <c r="AE198" s="167"/>
      <c r="AF198" s="167"/>
      <c r="AG198" s="167"/>
      <c r="AH198" s="167"/>
      <c r="AI198" s="167"/>
      <c r="AJ198" s="167"/>
      <c r="AK198" s="167"/>
      <c r="AL198" s="167"/>
      <c r="AM198" s="167"/>
      <c r="AN198" s="167"/>
      <c r="AO198" s="167"/>
      <c r="AP198" s="160"/>
      <c r="AQ198" s="160"/>
      <c r="AR198" s="160"/>
      <c r="AS198" s="160"/>
      <c r="AT198" s="160"/>
    </row>
    <row r="199" spans="23:46" s="99" customFormat="1" x14ac:dyDescent="0.25">
      <c r="W199" s="160"/>
      <c r="X199" s="160"/>
      <c r="Y199" s="167"/>
      <c r="Z199" s="167"/>
      <c r="AA199" s="167"/>
      <c r="AB199" s="167"/>
      <c r="AC199" s="167"/>
      <c r="AD199" s="167"/>
      <c r="AE199" s="167"/>
      <c r="AF199" s="167"/>
      <c r="AG199" s="167"/>
      <c r="AH199" s="167"/>
      <c r="AI199" s="167"/>
      <c r="AJ199" s="167"/>
      <c r="AK199" s="167"/>
      <c r="AL199" s="167"/>
      <c r="AM199" s="167"/>
      <c r="AN199" s="167"/>
      <c r="AO199" s="167"/>
      <c r="AP199" s="160"/>
      <c r="AQ199" s="160"/>
      <c r="AR199" s="160"/>
      <c r="AS199" s="160"/>
      <c r="AT199" s="160"/>
    </row>
    <row r="200" spans="23:46" s="99" customFormat="1" x14ac:dyDescent="0.25">
      <c r="W200" s="160"/>
      <c r="X200" s="160"/>
      <c r="Y200" s="167"/>
      <c r="Z200" s="167"/>
      <c r="AA200" s="167"/>
      <c r="AB200" s="167"/>
      <c r="AC200" s="167"/>
      <c r="AD200" s="167"/>
      <c r="AE200" s="167"/>
      <c r="AF200" s="167"/>
      <c r="AG200" s="167"/>
      <c r="AH200" s="167"/>
      <c r="AI200" s="167"/>
      <c r="AJ200" s="167"/>
      <c r="AK200" s="167"/>
      <c r="AL200" s="167"/>
      <c r="AM200" s="167"/>
      <c r="AN200" s="167"/>
      <c r="AO200" s="167"/>
      <c r="AP200" s="160"/>
      <c r="AQ200" s="160"/>
      <c r="AR200" s="160"/>
      <c r="AS200" s="160"/>
      <c r="AT200" s="160"/>
    </row>
    <row r="201" spans="23:46" s="99" customFormat="1" x14ac:dyDescent="0.25">
      <c r="W201" s="160"/>
      <c r="X201" s="160"/>
      <c r="Y201" s="167"/>
      <c r="Z201" s="167"/>
      <c r="AA201" s="167"/>
      <c r="AB201" s="167"/>
      <c r="AC201" s="167"/>
      <c r="AD201" s="167"/>
      <c r="AE201" s="167"/>
      <c r="AF201" s="167"/>
      <c r="AG201" s="167"/>
      <c r="AH201" s="167"/>
      <c r="AI201" s="167"/>
      <c r="AJ201" s="167"/>
      <c r="AK201" s="167"/>
      <c r="AL201" s="167"/>
      <c r="AM201" s="167"/>
      <c r="AN201" s="167"/>
      <c r="AO201" s="167"/>
      <c r="AP201" s="160"/>
      <c r="AQ201" s="160"/>
      <c r="AR201" s="160"/>
      <c r="AS201" s="160"/>
      <c r="AT201" s="160"/>
    </row>
    <row r="202" spans="23:46" s="99" customFormat="1" x14ac:dyDescent="0.25">
      <c r="W202" s="160"/>
      <c r="X202" s="160"/>
      <c r="Y202" s="167"/>
      <c r="Z202" s="167"/>
      <c r="AA202" s="167"/>
      <c r="AB202" s="167"/>
      <c r="AC202" s="167"/>
      <c r="AD202" s="167"/>
      <c r="AE202" s="167"/>
      <c r="AF202" s="167"/>
      <c r="AG202" s="167"/>
      <c r="AH202" s="167"/>
      <c r="AI202" s="167"/>
      <c r="AJ202" s="167"/>
      <c r="AK202" s="167"/>
      <c r="AL202" s="167"/>
      <c r="AM202" s="167"/>
      <c r="AN202" s="167"/>
      <c r="AO202" s="167"/>
      <c r="AP202" s="160"/>
      <c r="AQ202" s="160"/>
      <c r="AR202" s="160"/>
      <c r="AS202" s="160"/>
      <c r="AT202" s="160"/>
    </row>
    <row r="203" spans="23:46" s="99" customFormat="1" x14ac:dyDescent="0.25">
      <c r="W203" s="160"/>
      <c r="X203" s="160"/>
      <c r="Y203" s="167"/>
      <c r="Z203" s="167"/>
      <c r="AA203" s="167"/>
      <c r="AB203" s="167"/>
      <c r="AC203" s="167"/>
      <c r="AD203" s="167"/>
      <c r="AE203" s="167"/>
      <c r="AF203" s="167"/>
      <c r="AG203" s="167"/>
      <c r="AH203" s="167"/>
      <c r="AI203" s="167"/>
      <c r="AJ203" s="167"/>
      <c r="AK203" s="167"/>
      <c r="AL203" s="167"/>
      <c r="AM203" s="167"/>
      <c r="AN203" s="167"/>
      <c r="AO203" s="167"/>
      <c r="AP203" s="160"/>
      <c r="AQ203" s="160"/>
      <c r="AR203" s="160"/>
      <c r="AS203" s="160"/>
      <c r="AT203" s="160"/>
    </row>
    <row r="204" spans="23:46" s="99" customFormat="1" x14ac:dyDescent="0.25">
      <c r="W204" s="160"/>
      <c r="X204" s="160"/>
      <c r="Y204" s="167"/>
      <c r="Z204" s="167"/>
      <c r="AA204" s="167"/>
      <c r="AB204" s="167"/>
      <c r="AC204" s="167"/>
      <c r="AD204" s="167"/>
      <c r="AE204" s="167"/>
      <c r="AF204" s="167"/>
      <c r="AG204" s="167"/>
      <c r="AH204" s="167"/>
      <c r="AI204" s="167"/>
      <c r="AJ204" s="167"/>
      <c r="AK204" s="167"/>
      <c r="AL204" s="167"/>
      <c r="AM204" s="167"/>
      <c r="AN204" s="167"/>
      <c r="AO204" s="167"/>
      <c r="AP204" s="160"/>
      <c r="AQ204" s="160"/>
      <c r="AR204" s="160"/>
      <c r="AS204" s="160"/>
      <c r="AT204" s="160"/>
    </row>
    <row r="205" spans="23:46" s="99" customFormat="1" x14ac:dyDescent="0.25">
      <c r="W205" s="160"/>
      <c r="X205" s="160"/>
      <c r="Y205" s="167"/>
      <c r="Z205" s="167"/>
      <c r="AA205" s="167"/>
      <c r="AB205" s="167"/>
      <c r="AC205" s="167"/>
      <c r="AD205" s="167"/>
      <c r="AE205" s="167"/>
      <c r="AF205" s="167"/>
      <c r="AG205" s="167"/>
      <c r="AH205" s="167"/>
      <c r="AI205" s="167"/>
      <c r="AJ205" s="167"/>
      <c r="AK205" s="167"/>
      <c r="AL205" s="167"/>
      <c r="AM205" s="167"/>
      <c r="AN205" s="167"/>
      <c r="AO205" s="167"/>
      <c r="AP205" s="160"/>
      <c r="AQ205" s="160"/>
      <c r="AR205" s="160"/>
      <c r="AS205" s="160"/>
      <c r="AT205" s="160"/>
    </row>
    <row r="206" spans="23:46" s="99" customFormat="1" x14ac:dyDescent="0.25">
      <c r="W206" s="160"/>
      <c r="X206" s="160"/>
      <c r="Y206" s="167"/>
      <c r="Z206" s="167"/>
      <c r="AA206" s="167"/>
      <c r="AB206" s="167"/>
      <c r="AC206" s="167"/>
      <c r="AD206" s="167"/>
      <c r="AE206" s="167"/>
      <c r="AF206" s="167"/>
      <c r="AG206" s="167"/>
      <c r="AH206" s="167"/>
      <c r="AI206" s="167"/>
      <c r="AJ206" s="167"/>
      <c r="AK206" s="167"/>
      <c r="AL206" s="167"/>
      <c r="AM206" s="167"/>
      <c r="AN206" s="167"/>
      <c r="AO206" s="167"/>
      <c r="AP206" s="160"/>
      <c r="AQ206" s="160"/>
      <c r="AR206" s="160"/>
      <c r="AS206" s="160"/>
      <c r="AT206" s="160"/>
    </row>
    <row r="207" spans="23:46" s="99" customFormat="1" x14ac:dyDescent="0.25">
      <c r="W207" s="160"/>
      <c r="X207" s="160"/>
      <c r="Y207" s="167"/>
      <c r="Z207" s="167"/>
      <c r="AA207" s="167"/>
      <c r="AB207" s="167"/>
      <c r="AC207" s="167"/>
      <c r="AD207" s="167"/>
      <c r="AE207" s="167"/>
      <c r="AF207" s="167"/>
      <c r="AG207" s="167"/>
      <c r="AH207" s="167"/>
      <c r="AI207" s="167"/>
      <c r="AJ207" s="167"/>
      <c r="AK207" s="167"/>
      <c r="AL207" s="167"/>
      <c r="AM207" s="167"/>
      <c r="AN207" s="167"/>
      <c r="AO207" s="167"/>
      <c r="AP207" s="160"/>
      <c r="AQ207" s="160"/>
      <c r="AR207" s="160"/>
      <c r="AS207" s="160"/>
      <c r="AT207" s="160"/>
    </row>
    <row r="208" spans="23:46" s="99" customFormat="1" x14ac:dyDescent="0.25">
      <c r="W208" s="160"/>
      <c r="X208" s="160"/>
      <c r="Y208" s="167"/>
      <c r="Z208" s="167"/>
      <c r="AA208" s="167"/>
      <c r="AB208" s="167"/>
      <c r="AC208" s="167"/>
      <c r="AD208" s="167"/>
      <c r="AE208" s="167"/>
      <c r="AF208" s="167"/>
      <c r="AG208" s="167"/>
      <c r="AH208" s="167"/>
      <c r="AI208" s="167"/>
      <c r="AJ208" s="167"/>
      <c r="AK208" s="167"/>
      <c r="AL208" s="167"/>
      <c r="AM208" s="167"/>
      <c r="AN208" s="167"/>
      <c r="AO208" s="167"/>
      <c r="AP208" s="160"/>
      <c r="AQ208" s="160"/>
      <c r="AR208" s="160"/>
      <c r="AS208" s="160"/>
      <c r="AT208" s="160"/>
    </row>
    <row r="209" spans="23:46" s="99" customFormat="1" x14ac:dyDescent="0.25">
      <c r="W209" s="160"/>
      <c r="X209" s="160"/>
      <c r="Y209" s="167"/>
      <c r="Z209" s="167"/>
      <c r="AA209" s="167"/>
      <c r="AB209" s="167"/>
      <c r="AC209" s="167"/>
      <c r="AD209" s="167"/>
      <c r="AE209" s="167"/>
      <c r="AF209" s="167"/>
      <c r="AG209" s="167"/>
      <c r="AH209" s="167"/>
      <c r="AI209" s="167"/>
      <c r="AJ209" s="167"/>
      <c r="AK209" s="167"/>
      <c r="AL209" s="167"/>
      <c r="AM209" s="167"/>
      <c r="AN209" s="167"/>
      <c r="AO209" s="167"/>
      <c r="AP209" s="160"/>
      <c r="AQ209" s="160"/>
      <c r="AR209" s="160"/>
      <c r="AS209" s="160"/>
      <c r="AT209" s="160"/>
    </row>
    <row r="210" spans="23:46" s="99" customFormat="1" x14ac:dyDescent="0.25">
      <c r="W210" s="160"/>
      <c r="X210" s="160"/>
      <c r="Y210" s="167"/>
      <c r="Z210" s="167"/>
      <c r="AA210" s="167"/>
      <c r="AB210" s="167"/>
      <c r="AC210" s="167"/>
      <c r="AD210" s="167"/>
      <c r="AE210" s="167"/>
      <c r="AF210" s="167"/>
      <c r="AG210" s="167"/>
      <c r="AH210" s="167"/>
      <c r="AI210" s="167"/>
      <c r="AJ210" s="167"/>
      <c r="AK210" s="167"/>
      <c r="AL210" s="167"/>
      <c r="AM210" s="167"/>
      <c r="AN210" s="167"/>
      <c r="AO210" s="167"/>
      <c r="AP210" s="160"/>
      <c r="AQ210" s="160"/>
      <c r="AR210" s="160"/>
      <c r="AS210" s="160"/>
      <c r="AT210" s="160"/>
    </row>
    <row r="211" spans="23:46" s="99" customFormat="1" x14ac:dyDescent="0.25">
      <c r="W211" s="160"/>
      <c r="X211" s="160"/>
      <c r="Y211" s="167"/>
      <c r="Z211" s="167"/>
      <c r="AA211" s="167"/>
      <c r="AB211" s="167"/>
      <c r="AC211" s="167"/>
      <c r="AD211" s="167"/>
      <c r="AE211" s="167"/>
      <c r="AF211" s="167"/>
      <c r="AG211" s="167"/>
      <c r="AH211" s="167"/>
      <c r="AI211" s="167"/>
      <c r="AJ211" s="167"/>
      <c r="AK211" s="167"/>
      <c r="AL211" s="167"/>
      <c r="AM211" s="167"/>
      <c r="AN211" s="167"/>
      <c r="AO211" s="167"/>
      <c r="AP211" s="160"/>
      <c r="AQ211" s="160"/>
      <c r="AR211" s="160"/>
      <c r="AS211" s="160"/>
      <c r="AT211" s="160"/>
    </row>
    <row r="212" spans="23:46" s="99" customFormat="1" x14ac:dyDescent="0.25">
      <c r="W212" s="160"/>
      <c r="X212" s="160"/>
      <c r="Y212" s="167"/>
      <c r="Z212" s="167"/>
      <c r="AA212" s="167"/>
      <c r="AB212" s="167"/>
      <c r="AC212" s="167"/>
      <c r="AD212" s="167"/>
      <c r="AE212" s="167"/>
      <c r="AF212" s="167"/>
      <c r="AG212" s="167"/>
      <c r="AH212" s="167"/>
      <c r="AI212" s="167"/>
      <c r="AJ212" s="167"/>
      <c r="AK212" s="167"/>
      <c r="AL212" s="167"/>
      <c r="AM212" s="167"/>
      <c r="AN212" s="167"/>
      <c r="AO212" s="167"/>
      <c r="AP212" s="160"/>
      <c r="AQ212" s="160"/>
      <c r="AR212" s="160"/>
      <c r="AS212" s="160"/>
      <c r="AT212" s="160"/>
    </row>
    <row r="213" spans="23:46" s="99" customFormat="1" x14ac:dyDescent="0.25">
      <c r="W213" s="160"/>
      <c r="X213" s="160"/>
      <c r="Y213" s="167"/>
      <c r="Z213" s="167"/>
      <c r="AA213" s="167"/>
      <c r="AB213" s="167"/>
      <c r="AC213" s="167"/>
      <c r="AD213" s="167"/>
      <c r="AE213" s="167"/>
      <c r="AF213" s="167"/>
      <c r="AG213" s="167"/>
      <c r="AH213" s="167"/>
      <c r="AI213" s="167"/>
      <c r="AJ213" s="167"/>
      <c r="AK213" s="167"/>
      <c r="AL213" s="167"/>
      <c r="AM213" s="167"/>
      <c r="AN213" s="167"/>
      <c r="AO213" s="167"/>
      <c r="AP213" s="160"/>
      <c r="AQ213" s="160"/>
      <c r="AR213" s="160"/>
      <c r="AS213" s="160"/>
      <c r="AT213" s="160"/>
    </row>
    <row r="214" spans="23:46" s="99" customFormat="1" x14ac:dyDescent="0.25">
      <c r="W214" s="160"/>
      <c r="X214" s="160"/>
      <c r="Y214" s="167"/>
      <c r="Z214" s="167"/>
      <c r="AA214" s="167"/>
      <c r="AB214" s="167"/>
      <c r="AC214" s="167"/>
      <c r="AD214" s="167"/>
      <c r="AE214" s="167"/>
      <c r="AF214" s="167"/>
      <c r="AG214" s="167"/>
      <c r="AH214" s="167"/>
      <c r="AI214" s="167"/>
      <c r="AJ214" s="167"/>
      <c r="AK214" s="167"/>
      <c r="AL214" s="167"/>
      <c r="AM214" s="167"/>
      <c r="AN214" s="167"/>
      <c r="AO214" s="167"/>
      <c r="AP214" s="160"/>
      <c r="AQ214" s="160"/>
      <c r="AR214" s="160"/>
      <c r="AS214" s="160"/>
      <c r="AT214" s="160"/>
    </row>
    <row r="215" spans="23:46" s="99" customFormat="1" x14ac:dyDescent="0.25">
      <c r="W215" s="160"/>
      <c r="X215" s="160"/>
      <c r="Y215" s="167"/>
      <c r="Z215" s="167"/>
      <c r="AA215" s="167"/>
      <c r="AB215" s="167"/>
      <c r="AC215" s="167"/>
      <c r="AD215" s="167"/>
      <c r="AE215" s="167"/>
      <c r="AF215" s="167"/>
      <c r="AG215" s="167"/>
      <c r="AH215" s="167"/>
      <c r="AI215" s="167"/>
      <c r="AJ215" s="167"/>
      <c r="AK215" s="167"/>
      <c r="AL215" s="167"/>
      <c r="AM215" s="167"/>
      <c r="AN215" s="167"/>
      <c r="AO215" s="167"/>
      <c r="AP215" s="160"/>
      <c r="AQ215" s="160"/>
      <c r="AR215" s="160"/>
      <c r="AS215" s="160"/>
      <c r="AT215" s="160"/>
    </row>
    <row r="216" spans="23:46" s="99" customFormat="1" x14ac:dyDescent="0.25">
      <c r="W216" s="160"/>
      <c r="X216" s="160"/>
      <c r="Y216" s="167"/>
      <c r="Z216" s="167"/>
      <c r="AA216" s="167"/>
      <c r="AB216" s="167"/>
      <c r="AC216" s="167"/>
      <c r="AD216" s="167"/>
      <c r="AE216" s="167"/>
      <c r="AF216" s="167"/>
      <c r="AG216" s="167"/>
      <c r="AH216" s="167"/>
      <c r="AI216" s="167"/>
      <c r="AJ216" s="167"/>
      <c r="AK216" s="167"/>
      <c r="AL216" s="167"/>
      <c r="AM216" s="167"/>
      <c r="AN216" s="167"/>
      <c r="AO216" s="167"/>
      <c r="AP216" s="160"/>
      <c r="AQ216" s="160"/>
      <c r="AR216" s="160"/>
      <c r="AS216" s="160"/>
      <c r="AT216" s="160"/>
    </row>
    <row r="217" spans="23:46" s="99" customFormat="1" x14ac:dyDescent="0.25">
      <c r="W217" s="160"/>
      <c r="X217" s="160"/>
      <c r="Y217" s="167"/>
      <c r="Z217" s="167"/>
      <c r="AA217" s="167"/>
      <c r="AB217" s="167"/>
      <c r="AC217" s="167"/>
      <c r="AD217" s="167"/>
      <c r="AE217" s="167"/>
      <c r="AF217" s="167"/>
      <c r="AG217" s="167"/>
      <c r="AH217" s="167"/>
      <c r="AI217" s="167"/>
      <c r="AJ217" s="167"/>
      <c r="AK217" s="167"/>
      <c r="AL217" s="167"/>
      <c r="AM217" s="167"/>
      <c r="AN217" s="167"/>
      <c r="AO217" s="167"/>
      <c r="AP217" s="160"/>
      <c r="AQ217" s="160"/>
      <c r="AR217" s="160"/>
      <c r="AS217" s="160"/>
      <c r="AT217" s="160"/>
    </row>
    <row r="218" spans="23:46" s="99" customFormat="1" x14ac:dyDescent="0.25">
      <c r="W218" s="160"/>
      <c r="X218" s="160"/>
      <c r="Y218" s="167"/>
      <c r="Z218" s="167"/>
      <c r="AA218" s="167"/>
      <c r="AB218" s="167"/>
      <c r="AC218" s="167"/>
      <c r="AD218" s="167"/>
      <c r="AE218" s="167"/>
      <c r="AF218" s="167"/>
      <c r="AG218" s="167"/>
      <c r="AH218" s="167"/>
      <c r="AI218" s="167"/>
      <c r="AJ218" s="167"/>
      <c r="AK218" s="167"/>
      <c r="AL218" s="167"/>
      <c r="AM218" s="167"/>
      <c r="AN218" s="167"/>
      <c r="AO218" s="167"/>
      <c r="AP218" s="160"/>
      <c r="AQ218" s="160"/>
      <c r="AR218" s="160"/>
      <c r="AS218" s="160"/>
      <c r="AT218" s="160"/>
    </row>
    <row r="219" spans="23:46" s="99" customFormat="1" x14ac:dyDescent="0.25">
      <c r="W219" s="160"/>
      <c r="X219" s="160"/>
      <c r="Y219" s="167"/>
      <c r="Z219" s="167"/>
      <c r="AA219" s="167"/>
      <c r="AB219" s="167"/>
      <c r="AC219" s="167"/>
      <c r="AD219" s="167"/>
      <c r="AE219" s="167"/>
      <c r="AF219" s="167"/>
      <c r="AG219" s="167"/>
      <c r="AH219" s="167"/>
      <c r="AI219" s="167"/>
      <c r="AJ219" s="167"/>
      <c r="AK219" s="167"/>
      <c r="AL219" s="167"/>
      <c r="AM219" s="167"/>
      <c r="AN219" s="167"/>
      <c r="AO219" s="167"/>
      <c r="AP219" s="160"/>
      <c r="AQ219" s="160"/>
      <c r="AR219" s="160"/>
      <c r="AS219" s="160"/>
      <c r="AT219" s="160"/>
    </row>
    <row r="220" spans="23:46" s="99" customFormat="1" x14ac:dyDescent="0.25">
      <c r="W220" s="160"/>
      <c r="X220" s="160"/>
      <c r="Y220" s="167"/>
      <c r="Z220" s="167"/>
      <c r="AA220" s="167"/>
      <c r="AB220" s="167"/>
      <c r="AC220" s="167"/>
      <c r="AD220" s="167"/>
      <c r="AE220" s="167"/>
      <c r="AF220" s="167"/>
      <c r="AG220" s="167"/>
      <c r="AH220" s="167"/>
      <c r="AI220" s="167"/>
      <c r="AJ220" s="167"/>
      <c r="AK220" s="167"/>
      <c r="AL220" s="167"/>
      <c r="AM220" s="167"/>
      <c r="AN220" s="167"/>
      <c r="AO220" s="167"/>
      <c r="AP220" s="160"/>
      <c r="AQ220" s="160"/>
      <c r="AR220" s="160"/>
      <c r="AS220" s="160"/>
      <c r="AT220" s="160"/>
    </row>
    <row r="221" spans="23:46" s="99" customFormat="1" x14ac:dyDescent="0.25">
      <c r="W221" s="160"/>
      <c r="X221" s="160"/>
      <c r="Y221" s="167"/>
      <c r="Z221" s="167"/>
      <c r="AA221" s="167"/>
      <c r="AB221" s="167"/>
      <c r="AC221" s="167"/>
      <c r="AD221" s="167"/>
      <c r="AE221" s="167"/>
      <c r="AF221" s="167"/>
      <c r="AG221" s="167"/>
      <c r="AH221" s="167"/>
      <c r="AI221" s="167"/>
      <c r="AJ221" s="167"/>
      <c r="AK221" s="167"/>
      <c r="AL221" s="167"/>
      <c r="AM221" s="167"/>
      <c r="AN221" s="167"/>
      <c r="AO221" s="167"/>
      <c r="AP221" s="160"/>
      <c r="AQ221" s="160"/>
      <c r="AR221" s="160"/>
      <c r="AS221" s="160"/>
      <c r="AT221" s="160"/>
    </row>
    <row r="222" spans="23:46" s="99" customFormat="1" x14ac:dyDescent="0.25">
      <c r="W222" s="160"/>
      <c r="X222" s="160"/>
      <c r="Y222" s="167"/>
      <c r="Z222" s="167"/>
      <c r="AA222" s="167"/>
      <c r="AB222" s="167"/>
      <c r="AC222" s="167"/>
      <c r="AD222" s="167"/>
      <c r="AE222" s="167"/>
      <c r="AF222" s="167"/>
      <c r="AG222" s="167"/>
      <c r="AH222" s="167"/>
      <c r="AI222" s="167"/>
      <c r="AJ222" s="167"/>
      <c r="AK222" s="167"/>
      <c r="AL222" s="167"/>
      <c r="AM222" s="167"/>
      <c r="AN222" s="167"/>
      <c r="AO222" s="167"/>
      <c r="AP222" s="160"/>
      <c r="AQ222" s="160"/>
      <c r="AR222" s="160"/>
      <c r="AS222" s="160"/>
      <c r="AT222" s="160"/>
    </row>
    <row r="223" spans="23:46" s="99" customFormat="1" x14ac:dyDescent="0.25">
      <c r="W223" s="160"/>
      <c r="X223" s="160"/>
      <c r="Y223" s="167"/>
      <c r="Z223" s="167"/>
      <c r="AA223" s="167"/>
      <c r="AB223" s="167"/>
      <c r="AC223" s="167"/>
      <c r="AD223" s="167"/>
      <c r="AE223" s="167"/>
      <c r="AF223" s="167"/>
      <c r="AG223" s="167"/>
      <c r="AH223" s="167"/>
      <c r="AI223" s="167"/>
      <c r="AJ223" s="167"/>
      <c r="AK223" s="167"/>
      <c r="AL223" s="167"/>
      <c r="AM223" s="167"/>
      <c r="AN223" s="167"/>
      <c r="AO223" s="167"/>
      <c r="AP223" s="160"/>
      <c r="AQ223" s="160"/>
      <c r="AR223" s="160"/>
      <c r="AS223" s="160"/>
      <c r="AT223" s="160"/>
    </row>
    <row r="224" spans="23:46" s="99" customFormat="1" x14ac:dyDescent="0.25">
      <c r="W224" s="160"/>
      <c r="X224" s="160"/>
      <c r="Y224" s="167"/>
      <c r="Z224" s="167"/>
      <c r="AA224" s="167"/>
      <c r="AB224" s="167"/>
      <c r="AC224" s="167"/>
      <c r="AD224" s="167"/>
      <c r="AE224" s="167"/>
      <c r="AF224" s="167"/>
      <c r="AG224" s="167"/>
      <c r="AH224" s="167"/>
      <c r="AI224" s="167"/>
      <c r="AJ224" s="167"/>
      <c r="AK224" s="167"/>
      <c r="AL224" s="167"/>
      <c r="AM224" s="167"/>
      <c r="AN224" s="167"/>
      <c r="AO224" s="167"/>
      <c r="AP224" s="160"/>
      <c r="AQ224" s="160"/>
      <c r="AR224" s="160"/>
      <c r="AS224" s="160"/>
      <c r="AT224" s="160"/>
    </row>
    <row r="225" spans="23:46" s="99" customFormat="1" x14ac:dyDescent="0.25">
      <c r="W225" s="160"/>
      <c r="X225" s="160"/>
      <c r="Y225" s="167"/>
      <c r="Z225" s="167"/>
      <c r="AA225" s="167"/>
      <c r="AB225" s="167"/>
      <c r="AC225" s="167"/>
      <c r="AD225" s="167"/>
      <c r="AE225" s="167"/>
      <c r="AF225" s="167"/>
      <c r="AG225" s="167"/>
      <c r="AH225" s="167"/>
      <c r="AI225" s="167"/>
      <c r="AJ225" s="167"/>
      <c r="AK225" s="167"/>
      <c r="AL225" s="167"/>
      <c r="AM225" s="167"/>
      <c r="AN225" s="167"/>
      <c r="AO225" s="167"/>
      <c r="AP225" s="160"/>
      <c r="AQ225" s="160"/>
      <c r="AR225" s="160"/>
      <c r="AS225" s="160"/>
      <c r="AT225" s="160"/>
    </row>
    <row r="226" spans="23:46" s="99" customFormat="1" x14ac:dyDescent="0.25">
      <c r="W226" s="160"/>
      <c r="X226" s="160"/>
      <c r="Y226" s="167"/>
      <c r="Z226" s="167"/>
      <c r="AA226" s="167"/>
      <c r="AB226" s="167"/>
      <c r="AC226" s="167"/>
      <c r="AD226" s="167"/>
      <c r="AE226" s="167"/>
      <c r="AF226" s="167"/>
      <c r="AG226" s="167"/>
      <c r="AH226" s="167"/>
      <c r="AI226" s="167"/>
      <c r="AJ226" s="167"/>
      <c r="AK226" s="167"/>
      <c r="AL226" s="167"/>
      <c r="AM226" s="167"/>
      <c r="AN226" s="167"/>
      <c r="AO226" s="167"/>
      <c r="AP226" s="160"/>
      <c r="AQ226" s="160"/>
      <c r="AR226" s="160"/>
      <c r="AS226" s="160"/>
      <c r="AT226" s="160"/>
    </row>
    <row r="227" spans="23:46" s="99" customFormat="1" x14ac:dyDescent="0.25">
      <c r="W227" s="160"/>
      <c r="X227" s="160"/>
      <c r="Y227" s="167"/>
      <c r="Z227" s="167"/>
      <c r="AA227" s="167"/>
      <c r="AB227" s="167"/>
      <c r="AC227" s="167"/>
      <c r="AD227" s="167"/>
      <c r="AE227" s="167"/>
      <c r="AF227" s="167"/>
      <c r="AG227" s="167"/>
      <c r="AH227" s="167"/>
      <c r="AI227" s="167"/>
      <c r="AJ227" s="167"/>
      <c r="AK227" s="167"/>
      <c r="AL227" s="167"/>
      <c r="AM227" s="167"/>
      <c r="AN227" s="167"/>
      <c r="AO227" s="167"/>
      <c r="AP227" s="160"/>
      <c r="AQ227" s="160"/>
      <c r="AR227" s="160"/>
      <c r="AS227" s="160"/>
      <c r="AT227" s="160"/>
    </row>
    <row r="228" spans="23:46" s="99" customFormat="1" x14ac:dyDescent="0.25">
      <c r="W228" s="160"/>
      <c r="X228" s="160"/>
      <c r="Y228" s="167"/>
      <c r="Z228" s="167"/>
      <c r="AA228" s="167"/>
      <c r="AB228" s="167"/>
      <c r="AC228" s="167"/>
      <c r="AD228" s="167"/>
      <c r="AE228" s="167"/>
      <c r="AF228" s="167"/>
      <c r="AG228" s="167"/>
      <c r="AH228" s="167"/>
      <c r="AI228" s="167"/>
      <c r="AJ228" s="167"/>
      <c r="AK228" s="167"/>
      <c r="AL228" s="167"/>
      <c r="AM228" s="167"/>
      <c r="AN228" s="167"/>
      <c r="AO228" s="167"/>
      <c r="AP228" s="160"/>
      <c r="AQ228" s="160"/>
      <c r="AR228" s="160"/>
      <c r="AS228" s="160"/>
      <c r="AT228" s="160"/>
    </row>
    <row r="229" spans="23:46" s="99" customFormat="1" x14ac:dyDescent="0.25">
      <c r="W229" s="160"/>
      <c r="X229" s="160"/>
      <c r="Y229" s="167"/>
      <c r="Z229" s="167"/>
      <c r="AA229" s="167"/>
      <c r="AB229" s="167"/>
      <c r="AC229" s="167"/>
      <c r="AD229" s="167"/>
      <c r="AE229" s="167"/>
      <c r="AF229" s="167"/>
      <c r="AG229" s="167"/>
      <c r="AH229" s="167"/>
      <c r="AI229" s="167"/>
      <c r="AJ229" s="167"/>
      <c r="AK229" s="167"/>
      <c r="AL229" s="167"/>
      <c r="AM229" s="167"/>
      <c r="AN229" s="167"/>
      <c r="AO229" s="167"/>
      <c r="AP229" s="160"/>
      <c r="AQ229" s="160"/>
      <c r="AR229" s="160"/>
      <c r="AS229" s="160"/>
      <c r="AT229" s="160"/>
    </row>
    <row r="230" spans="23:46" s="99" customFormat="1" x14ac:dyDescent="0.25">
      <c r="W230" s="160"/>
      <c r="X230" s="160"/>
      <c r="Y230" s="167"/>
      <c r="Z230" s="167"/>
      <c r="AA230" s="167"/>
      <c r="AB230" s="167"/>
      <c r="AC230" s="167"/>
      <c r="AD230" s="167"/>
      <c r="AE230" s="167"/>
      <c r="AF230" s="167"/>
      <c r="AG230" s="167"/>
      <c r="AH230" s="167"/>
      <c r="AI230" s="167"/>
      <c r="AJ230" s="167"/>
      <c r="AK230" s="167"/>
      <c r="AL230" s="167"/>
      <c r="AM230" s="167"/>
      <c r="AN230" s="167"/>
      <c r="AO230" s="167"/>
      <c r="AP230" s="160"/>
      <c r="AQ230" s="160"/>
      <c r="AR230" s="160"/>
      <c r="AS230" s="160"/>
      <c r="AT230" s="160"/>
    </row>
    <row r="231" spans="23:46" s="99" customFormat="1" x14ac:dyDescent="0.25">
      <c r="W231" s="160"/>
      <c r="X231" s="160"/>
      <c r="Y231" s="167"/>
      <c r="Z231" s="167"/>
      <c r="AA231" s="167"/>
      <c r="AB231" s="167"/>
      <c r="AC231" s="167"/>
      <c r="AD231" s="167"/>
      <c r="AE231" s="167"/>
      <c r="AF231" s="167"/>
      <c r="AG231" s="167"/>
      <c r="AH231" s="167"/>
      <c r="AI231" s="167"/>
      <c r="AJ231" s="167"/>
      <c r="AK231" s="167"/>
      <c r="AL231" s="167"/>
      <c r="AM231" s="167"/>
      <c r="AN231" s="167"/>
      <c r="AO231" s="167"/>
      <c r="AP231" s="160"/>
      <c r="AQ231" s="160"/>
      <c r="AR231" s="160"/>
      <c r="AS231" s="160"/>
      <c r="AT231" s="160"/>
    </row>
    <row r="232" spans="23:46" s="99" customFormat="1" x14ac:dyDescent="0.25">
      <c r="W232" s="160"/>
      <c r="X232" s="160"/>
      <c r="Y232" s="167"/>
      <c r="Z232" s="167"/>
      <c r="AA232" s="167"/>
      <c r="AB232" s="167"/>
      <c r="AC232" s="167"/>
      <c r="AD232" s="167"/>
      <c r="AE232" s="167"/>
      <c r="AF232" s="167"/>
      <c r="AG232" s="167"/>
      <c r="AH232" s="167"/>
      <c r="AI232" s="167"/>
      <c r="AJ232" s="167"/>
      <c r="AK232" s="167"/>
      <c r="AL232" s="167"/>
      <c r="AM232" s="167"/>
      <c r="AN232" s="167"/>
      <c r="AO232" s="167"/>
      <c r="AP232" s="160"/>
      <c r="AQ232" s="160"/>
      <c r="AR232" s="160"/>
      <c r="AS232" s="160"/>
      <c r="AT232" s="160"/>
    </row>
    <row r="233" spans="23:46" s="99" customFormat="1" x14ac:dyDescent="0.25">
      <c r="W233" s="160"/>
      <c r="X233" s="160"/>
      <c r="Y233" s="167"/>
      <c r="Z233" s="167"/>
      <c r="AA233" s="167"/>
      <c r="AB233" s="167"/>
      <c r="AC233" s="167"/>
      <c r="AD233" s="167"/>
      <c r="AE233" s="167"/>
      <c r="AF233" s="167"/>
      <c r="AG233" s="167"/>
      <c r="AH233" s="167"/>
      <c r="AI233" s="167"/>
      <c r="AJ233" s="167"/>
      <c r="AK233" s="167"/>
      <c r="AL233" s="167"/>
      <c r="AM233" s="167"/>
      <c r="AN233" s="167"/>
      <c r="AO233" s="167"/>
      <c r="AP233" s="160"/>
      <c r="AQ233" s="160"/>
      <c r="AR233" s="160"/>
      <c r="AS233" s="160"/>
      <c r="AT233" s="160"/>
    </row>
    <row r="234" spans="23:46" s="99" customFormat="1" x14ac:dyDescent="0.25">
      <c r="W234" s="160"/>
      <c r="X234" s="160"/>
      <c r="Y234" s="167"/>
      <c r="Z234" s="167"/>
      <c r="AA234" s="167"/>
      <c r="AB234" s="167"/>
      <c r="AC234" s="167"/>
      <c r="AD234" s="167"/>
      <c r="AE234" s="167"/>
      <c r="AF234" s="167"/>
      <c r="AG234" s="167"/>
      <c r="AH234" s="167"/>
      <c r="AI234" s="167"/>
      <c r="AJ234" s="167"/>
      <c r="AK234" s="167"/>
      <c r="AL234" s="167"/>
      <c r="AM234" s="167"/>
      <c r="AN234" s="167"/>
      <c r="AO234" s="167"/>
      <c r="AP234" s="160"/>
      <c r="AQ234" s="160"/>
      <c r="AR234" s="160"/>
      <c r="AS234" s="160"/>
      <c r="AT234" s="160"/>
    </row>
    <row r="235" spans="23:46" s="99" customFormat="1" x14ac:dyDescent="0.25">
      <c r="W235" s="160"/>
      <c r="X235" s="160"/>
      <c r="Y235" s="167"/>
      <c r="Z235" s="167"/>
      <c r="AA235" s="167"/>
      <c r="AB235" s="167"/>
      <c r="AC235" s="167"/>
      <c r="AD235" s="167"/>
      <c r="AE235" s="167"/>
      <c r="AF235" s="167"/>
      <c r="AG235" s="167"/>
      <c r="AH235" s="167"/>
      <c r="AI235" s="167"/>
      <c r="AJ235" s="167"/>
      <c r="AK235" s="167"/>
      <c r="AL235" s="167"/>
      <c r="AM235" s="167"/>
      <c r="AN235" s="167"/>
      <c r="AO235" s="167"/>
      <c r="AP235" s="160"/>
      <c r="AQ235" s="160"/>
      <c r="AR235" s="160"/>
      <c r="AS235" s="160"/>
      <c r="AT235" s="160"/>
    </row>
    <row r="236" spans="23:46" s="99" customFormat="1" x14ac:dyDescent="0.25">
      <c r="W236" s="160"/>
      <c r="X236" s="160"/>
      <c r="Y236" s="167"/>
      <c r="Z236" s="167"/>
      <c r="AA236" s="167"/>
      <c r="AB236" s="167"/>
      <c r="AC236" s="167"/>
      <c r="AD236" s="167"/>
      <c r="AE236" s="167"/>
      <c r="AF236" s="167"/>
      <c r="AG236" s="167"/>
      <c r="AH236" s="167"/>
      <c r="AI236" s="167"/>
      <c r="AJ236" s="167"/>
      <c r="AK236" s="167"/>
      <c r="AL236" s="167"/>
      <c r="AM236" s="167"/>
      <c r="AN236" s="167"/>
      <c r="AO236" s="167"/>
      <c r="AP236" s="160"/>
      <c r="AQ236" s="160"/>
      <c r="AR236" s="160"/>
      <c r="AS236" s="160"/>
      <c r="AT236" s="160"/>
    </row>
    <row r="237" spans="23:46" s="99" customFormat="1" x14ac:dyDescent="0.25">
      <c r="W237" s="160"/>
      <c r="X237" s="160"/>
      <c r="Y237" s="167"/>
      <c r="Z237" s="167"/>
      <c r="AA237" s="167"/>
      <c r="AB237" s="167"/>
      <c r="AC237" s="167"/>
      <c r="AD237" s="167"/>
      <c r="AE237" s="167"/>
      <c r="AF237" s="167"/>
      <c r="AG237" s="167"/>
      <c r="AH237" s="167"/>
      <c r="AI237" s="167"/>
      <c r="AJ237" s="167"/>
      <c r="AK237" s="167"/>
      <c r="AL237" s="167"/>
      <c r="AM237" s="167"/>
      <c r="AN237" s="167"/>
      <c r="AO237" s="167"/>
      <c r="AP237" s="160"/>
      <c r="AQ237" s="160"/>
      <c r="AR237" s="160"/>
      <c r="AS237" s="160"/>
      <c r="AT237" s="160"/>
    </row>
    <row r="238" spans="23:46" s="99" customFormat="1" x14ac:dyDescent="0.25">
      <c r="W238" s="160"/>
      <c r="X238" s="160"/>
      <c r="Y238" s="167"/>
      <c r="Z238" s="167"/>
      <c r="AA238" s="167"/>
      <c r="AB238" s="167"/>
      <c r="AC238" s="167"/>
      <c r="AD238" s="167"/>
      <c r="AE238" s="167"/>
      <c r="AF238" s="167"/>
      <c r="AG238" s="167"/>
      <c r="AH238" s="167"/>
      <c r="AI238" s="167"/>
      <c r="AJ238" s="167"/>
      <c r="AK238" s="167"/>
      <c r="AL238" s="167"/>
      <c r="AM238" s="167"/>
      <c r="AN238" s="167"/>
      <c r="AO238" s="167"/>
      <c r="AP238" s="160"/>
      <c r="AQ238" s="160"/>
      <c r="AR238" s="160"/>
      <c r="AS238" s="160"/>
      <c r="AT238" s="160"/>
    </row>
    <row r="239" spans="23:46" s="99" customFormat="1" x14ac:dyDescent="0.25">
      <c r="W239" s="160"/>
      <c r="X239" s="160"/>
      <c r="Y239" s="167"/>
      <c r="Z239" s="167"/>
      <c r="AA239" s="167"/>
      <c r="AB239" s="167"/>
      <c r="AC239" s="167"/>
      <c r="AD239" s="167"/>
      <c r="AE239" s="167"/>
      <c r="AF239" s="167"/>
      <c r="AG239" s="167"/>
      <c r="AH239" s="167"/>
      <c r="AI239" s="167"/>
      <c r="AJ239" s="167"/>
      <c r="AK239" s="167"/>
      <c r="AL239" s="167"/>
      <c r="AM239" s="167"/>
      <c r="AN239" s="167"/>
      <c r="AO239" s="167"/>
      <c r="AP239" s="160"/>
      <c r="AQ239" s="160"/>
      <c r="AR239" s="160"/>
      <c r="AS239" s="160"/>
      <c r="AT239" s="160"/>
    </row>
    <row r="240" spans="23:46" s="99" customFormat="1" x14ac:dyDescent="0.25">
      <c r="W240" s="160"/>
      <c r="X240" s="160"/>
      <c r="Y240" s="167"/>
      <c r="Z240" s="167"/>
      <c r="AA240" s="167"/>
      <c r="AB240" s="167"/>
      <c r="AC240" s="167"/>
      <c r="AD240" s="167"/>
      <c r="AE240" s="167"/>
      <c r="AF240" s="167"/>
      <c r="AG240" s="167"/>
      <c r="AH240" s="167"/>
      <c r="AI240" s="167"/>
      <c r="AJ240" s="167"/>
      <c r="AK240" s="167"/>
      <c r="AL240" s="167"/>
      <c r="AM240" s="167"/>
      <c r="AN240" s="167"/>
      <c r="AO240" s="167"/>
      <c r="AP240" s="160"/>
      <c r="AQ240" s="160"/>
      <c r="AR240" s="160"/>
      <c r="AS240" s="160"/>
      <c r="AT240" s="160"/>
    </row>
    <row r="241" spans="23:46" s="99" customFormat="1" x14ac:dyDescent="0.25">
      <c r="W241" s="160"/>
      <c r="X241" s="160"/>
      <c r="Y241" s="167"/>
      <c r="Z241" s="167"/>
      <c r="AA241" s="167"/>
      <c r="AB241" s="167"/>
      <c r="AC241" s="167"/>
      <c r="AD241" s="167"/>
      <c r="AE241" s="167"/>
      <c r="AF241" s="167"/>
      <c r="AG241" s="167"/>
      <c r="AH241" s="167"/>
      <c r="AI241" s="167"/>
      <c r="AJ241" s="167"/>
      <c r="AK241" s="167"/>
      <c r="AL241" s="167"/>
      <c r="AM241" s="167"/>
      <c r="AN241" s="167"/>
      <c r="AO241" s="167"/>
      <c r="AP241" s="160"/>
      <c r="AQ241" s="160"/>
      <c r="AR241" s="160"/>
      <c r="AS241" s="160"/>
      <c r="AT241" s="160"/>
    </row>
    <row r="242" spans="23:46" s="99" customFormat="1" x14ac:dyDescent="0.25">
      <c r="W242" s="160"/>
      <c r="X242" s="160"/>
      <c r="Y242" s="167"/>
      <c r="Z242" s="167"/>
      <c r="AA242" s="167"/>
      <c r="AB242" s="167"/>
      <c r="AC242" s="167"/>
      <c r="AD242" s="167"/>
      <c r="AE242" s="167"/>
      <c r="AF242" s="167"/>
      <c r="AG242" s="167"/>
      <c r="AH242" s="167"/>
      <c r="AI242" s="167"/>
      <c r="AJ242" s="167"/>
      <c r="AK242" s="167"/>
      <c r="AL242" s="167"/>
      <c r="AM242" s="167"/>
      <c r="AN242" s="167"/>
      <c r="AO242" s="167"/>
      <c r="AP242" s="160"/>
      <c r="AQ242" s="160"/>
      <c r="AR242" s="160"/>
      <c r="AS242" s="160"/>
      <c r="AT242" s="160"/>
    </row>
    <row r="243" spans="23:46" s="99" customFormat="1" x14ac:dyDescent="0.25">
      <c r="W243" s="160"/>
      <c r="X243" s="160"/>
      <c r="Y243" s="167"/>
      <c r="Z243" s="167"/>
      <c r="AA243" s="167"/>
      <c r="AB243" s="167"/>
      <c r="AC243" s="167"/>
      <c r="AD243" s="167"/>
      <c r="AE243" s="167"/>
      <c r="AF243" s="167"/>
      <c r="AG243" s="167"/>
      <c r="AH243" s="167"/>
      <c r="AI243" s="167"/>
      <c r="AJ243" s="167"/>
      <c r="AK243" s="167"/>
      <c r="AL243" s="167"/>
      <c r="AM243" s="167"/>
      <c r="AN243" s="167"/>
      <c r="AO243" s="167"/>
      <c r="AP243" s="160"/>
      <c r="AQ243" s="160"/>
      <c r="AR243" s="160"/>
      <c r="AS243" s="160"/>
      <c r="AT243" s="160"/>
    </row>
    <row r="244" spans="23:46" s="99" customFormat="1" x14ac:dyDescent="0.25">
      <c r="W244" s="160"/>
      <c r="X244" s="160"/>
      <c r="Y244" s="167"/>
      <c r="Z244" s="167"/>
      <c r="AA244" s="167"/>
      <c r="AB244" s="167"/>
      <c r="AC244" s="167"/>
      <c r="AD244" s="167"/>
      <c r="AE244" s="167"/>
      <c r="AF244" s="167"/>
      <c r="AG244" s="167"/>
      <c r="AH244" s="167"/>
      <c r="AI244" s="167"/>
      <c r="AJ244" s="167"/>
      <c r="AK244" s="167"/>
      <c r="AL244" s="167"/>
      <c r="AM244" s="167"/>
      <c r="AN244" s="167"/>
      <c r="AO244" s="167"/>
      <c r="AP244" s="160"/>
      <c r="AQ244" s="160"/>
      <c r="AR244" s="160"/>
      <c r="AS244" s="160"/>
      <c r="AT244" s="160"/>
    </row>
    <row r="245" spans="23:46" s="99" customFormat="1" x14ac:dyDescent="0.25">
      <c r="W245" s="160"/>
      <c r="X245" s="160"/>
      <c r="Y245" s="167"/>
      <c r="Z245" s="167"/>
      <c r="AA245" s="167"/>
      <c r="AB245" s="167"/>
      <c r="AC245" s="167"/>
      <c r="AD245" s="167"/>
      <c r="AE245" s="167"/>
      <c r="AF245" s="167"/>
      <c r="AG245" s="167"/>
      <c r="AH245" s="167"/>
      <c r="AI245" s="167"/>
      <c r="AJ245" s="167"/>
      <c r="AK245" s="167"/>
      <c r="AL245" s="167"/>
      <c r="AM245" s="167"/>
      <c r="AN245" s="167"/>
      <c r="AO245" s="167"/>
      <c r="AP245" s="160"/>
      <c r="AQ245" s="160"/>
      <c r="AR245" s="160"/>
      <c r="AS245" s="160"/>
      <c r="AT245" s="160"/>
    </row>
    <row r="246" spans="23:46" s="99" customFormat="1" x14ac:dyDescent="0.25">
      <c r="W246" s="160"/>
      <c r="X246" s="160"/>
      <c r="Y246" s="167"/>
      <c r="Z246" s="167"/>
      <c r="AA246" s="167"/>
      <c r="AB246" s="167"/>
      <c r="AC246" s="167"/>
      <c r="AD246" s="167"/>
      <c r="AE246" s="167"/>
      <c r="AF246" s="167"/>
      <c r="AG246" s="167"/>
      <c r="AH246" s="167"/>
      <c r="AI246" s="167"/>
      <c r="AJ246" s="167"/>
      <c r="AK246" s="167"/>
      <c r="AL246" s="167"/>
      <c r="AM246" s="167"/>
      <c r="AN246" s="167"/>
      <c r="AO246" s="167"/>
      <c r="AP246" s="160"/>
      <c r="AQ246" s="160"/>
      <c r="AR246" s="160"/>
      <c r="AS246" s="160"/>
      <c r="AT246" s="160"/>
    </row>
    <row r="247" spans="23:46" s="99" customFormat="1" x14ac:dyDescent="0.25">
      <c r="W247" s="160"/>
      <c r="X247" s="160"/>
      <c r="Y247" s="167"/>
      <c r="Z247" s="167"/>
      <c r="AA247" s="167"/>
      <c r="AB247" s="167"/>
      <c r="AC247" s="167"/>
      <c r="AD247" s="167"/>
      <c r="AE247" s="167"/>
      <c r="AF247" s="167"/>
      <c r="AG247" s="167"/>
      <c r="AH247" s="167"/>
      <c r="AI247" s="167"/>
      <c r="AJ247" s="167"/>
      <c r="AK247" s="167"/>
      <c r="AL247" s="167"/>
      <c r="AM247" s="167"/>
      <c r="AN247" s="167"/>
      <c r="AO247" s="167"/>
      <c r="AP247" s="160"/>
      <c r="AQ247" s="160"/>
      <c r="AR247" s="160"/>
      <c r="AS247" s="160"/>
      <c r="AT247" s="160"/>
    </row>
    <row r="248" spans="23:46" s="99" customFormat="1" x14ac:dyDescent="0.25">
      <c r="W248" s="160"/>
      <c r="X248" s="160"/>
      <c r="Y248" s="167"/>
      <c r="Z248" s="167"/>
      <c r="AA248" s="167"/>
      <c r="AB248" s="167"/>
      <c r="AC248" s="167"/>
      <c r="AD248" s="167"/>
      <c r="AE248" s="167"/>
      <c r="AF248" s="167"/>
      <c r="AG248" s="167"/>
      <c r="AH248" s="167"/>
      <c r="AI248" s="167"/>
      <c r="AJ248" s="167"/>
      <c r="AK248" s="167"/>
      <c r="AL248" s="167"/>
      <c r="AM248" s="167"/>
      <c r="AN248" s="167"/>
      <c r="AO248" s="167"/>
      <c r="AP248" s="160"/>
      <c r="AQ248" s="160"/>
      <c r="AR248" s="160"/>
      <c r="AS248" s="160"/>
      <c r="AT248" s="160"/>
    </row>
    <row r="249" spans="23:46" s="99" customFormat="1" x14ac:dyDescent="0.25">
      <c r="W249" s="160"/>
      <c r="X249" s="160"/>
      <c r="Y249" s="167"/>
      <c r="Z249" s="167"/>
      <c r="AA249" s="167"/>
      <c r="AB249" s="167"/>
      <c r="AC249" s="167"/>
      <c r="AD249" s="167"/>
      <c r="AE249" s="167"/>
      <c r="AF249" s="167"/>
      <c r="AG249" s="167"/>
      <c r="AH249" s="167"/>
      <c r="AI249" s="167"/>
      <c r="AJ249" s="167"/>
      <c r="AK249" s="167"/>
      <c r="AL249" s="167"/>
      <c r="AM249" s="167"/>
      <c r="AN249" s="167"/>
      <c r="AO249" s="167"/>
      <c r="AP249" s="160"/>
      <c r="AQ249" s="160"/>
      <c r="AR249" s="160"/>
      <c r="AS249" s="160"/>
      <c r="AT249" s="160"/>
    </row>
    <row r="250" spans="23:46" s="99" customFormat="1" x14ac:dyDescent="0.25">
      <c r="W250" s="160"/>
      <c r="X250" s="160"/>
      <c r="Y250" s="167"/>
      <c r="Z250" s="167"/>
      <c r="AA250" s="167"/>
      <c r="AB250" s="167"/>
      <c r="AC250" s="167"/>
      <c r="AD250" s="167"/>
      <c r="AE250" s="167"/>
      <c r="AF250" s="167"/>
      <c r="AG250" s="167"/>
      <c r="AH250" s="167"/>
      <c r="AI250" s="167"/>
      <c r="AJ250" s="167"/>
      <c r="AK250" s="167"/>
      <c r="AL250" s="167"/>
      <c r="AM250" s="167"/>
      <c r="AN250" s="167"/>
      <c r="AO250" s="167"/>
      <c r="AP250" s="160"/>
      <c r="AQ250" s="160"/>
      <c r="AR250" s="160"/>
      <c r="AS250" s="160"/>
      <c r="AT250" s="160"/>
    </row>
    <row r="251" spans="23:46" s="99" customFormat="1" x14ac:dyDescent="0.25">
      <c r="W251" s="160"/>
      <c r="X251" s="160"/>
      <c r="Y251" s="167"/>
      <c r="Z251" s="167"/>
      <c r="AA251" s="167"/>
      <c r="AB251" s="167"/>
      <c r="AC251" s="167"/>
      <c r="AD251" s="167"/>
      <c r="AE251" s="167"/>
      <c r="AF251" s="167"/>
      <c r="AG251" s="167"/>
      <c r="AH251" s="167"/>
      <c r="AI251" s="167"/>
      <c r="AJ251" s="167"/>
      <c r="AK251" s="167"/>
      <c r="AL251" s="167"/>
      <c r="AM251" s="167"/>
      <c r="AN251" s="167"/>
      <c r="AO251" s="167"/>
      <c r="AP251" s="160"/>
      <c r="AQ251" s="160"/>
      <c r="AR251" s="160"/>
      <c r="AS251" s="160"/>
      <c r="AT251" s="160"/>
    </row>
    <row r="252" spans="23:46" s="99" customFormat="1" x14ac:dyDescent="0.25">
      <c r="W252" s="160"/>
      <c r="X252" s="160"/>
      <c r="Y252" s="167"/>
      <c r="Z252" s="167"/>
      <c r="AA252" s="167"/>
      <c r="AB252" s="167"/>
      <c r="AC252" s="167"/>
      <c r="AD252" s="167"/>
      <c r="AE252" s="167"/>
      <c r="AF252" s="167"/>
      <c r="AG252" s="167"/>
      <c r="AH252" s="167"/>
      <c r="AI252" s="167"/>
      <c r="AJ252" s="167"/>
      <c r="AK252" s="167"/>
      <c r="AL252" s="167"/>
      <c r="AM252" s="167"/>
      <c r="AN252" s="167"/>
      <c r="AO252" s="167"/>
      <c r="AP252" s="160"/>
      <c r="AQ252" s="160"/>
      <c r="AR252" s="160"/>
      <c r="AS252" s="160"/>
      <c r="AT252" s="160"/>
    </row>
    <row r="253" spans="23:46" s="99" customFormat="1" x14ac:dyDescent="0.25">
      <c r="W253" s="160"/>
      <c r="X253" s="160"/>
      <c r="Y253" s="167"/>
      <c r="Z253" s="167"/>
      <c r="AA253" s="167"/>
      <c r="AB253" s="167"/>
      <c r="AC253" s="167"/>
      <c r="AD253" s="167"/>
      <c r="AE253" s="167"/>
      <c r="AF253" s="167"/>
      <c r="AG253" s="167"/>
      <c r="AH253" s="167"/>
      <c r="AI253" s="167"/>
      <c r="AJ253" s="167"/>
      <c r="AK253" s="167"/>
      <c r="AL253" s="167"/>
      <c r="AM253" s="167"/>
      <c r="AN253" s="167"/>
      <c r="AO253" s="167"/>
      <c r="AP253" s="160"/>
      <c r="AQ253" s="160"/>
      <c r="AR253" s="160"/>
      <c r="AS253" s="160"/>
      <c r="AT253" s="160"/>
    </row>
    <row r="254" spans="23:46" s="99" customFormat="1" x14ac:dyDescent="0.25">
      <c r="W254" s="160"/>
      <c r="X254" s="160"/>
      <c r="Y254" s="167"/>
      <c r="Z254" s="167"/>
      <c r="AA254" s="167"/>
      <c r="AB254" s="167"/>
      <c r="AC254" s="167"/>
      <c r="AD254" s="167"/>
      <c r="AE254" s="167"/>
      <c r="AF254" s="167"/>
      <c r="AG254" s="167"/>
      <c r="AH254" s="167"/>
      <c r="AI254" s="167"/>
      <c r="AJ254" s="167"/>
      <c r="AK254" s="167"/>
      <c r="AL254" s="167"/>
      <c r="AM254" s="167"/>
      <c r="AN254" s="167"/>
      <c r="AO254" s="167"/>
      <c r="AP254" s="160"/>
      <c r="AQ254" s="160"/>
      <c r="AR254" s="160"/>
      <c r="AS254" s="160"/>
      <c r="AT254" s="160"/>
    </row>
    <row r="255" spans="23:46" s="99" customFormat="1" x14ac:dyDescent="0.25">
      <c r="W255" s="160"/>
      <c r="X255" s="160"/>
      <c r="Y255" s="167"/>
      <c r="Z255" s="167"/>
      <c r="AA255" s="167"/>
      <c r="AB255" s="167"/>
      <c r="AC255" s="167"/>
      <c r="AD255" s="167"/>
      <c r="AE255" s="167"/>
      <c r="AF255" s="167"/>
      <c r="AG255" s="167"/>
      <c r="AH255" s="167"/>
      <c r="AI255" s="167"/>
      <c r="AJ255" s="167"/>
      <c r="AK255" s="167"/>
      <c r="AL255" s="167"/>
      <c r="AM255" s="167"/>
      <c r="AN255" s="167"/>
      <c r="AO255" s="167"/>
      <c r="AP255" s="160"/>
      <c r="AQ255" s="160"/>
      <c r="AR255" s="160"/>
      <c r="AS255" s="160"/>
      <c r="AT255" s="160"/>
    </row>
    <row r="256" spans="23:46" s="99" customFormat="1" x14ac:dyDescent="0.25">
      <c r="W256" s="160"/>
      <c r="X256" s="160"/>
      <c r="Y256" s="167"/>
      <c r="Z256" s="167"/>
      <c r="AA256" s="167"/>
      <c r="AB256" s="167"/>
      <c r="AC256" s="167"/>
      <c r="AD256" s="167"/>
      <c r="AE256" s="167"/>
      <c r="AF256" s="167"/>
      <c r="AG256" s="167"/>
      <c r="AH256" s="167"/>
      <c r="AI256" s="167"/>
      <c r="AJ256" s="167"/>
      <c r="AK256" s="167"/>
      <c r="AL256" s="167"/>
      <c r="AM256" s="167"/>
      <c r="AN256" s="167"/>
      <c r="AO256" s="167"/>
      <c r="AP256" s="160"/>
      <c r="AQ256" s="160"/>
      <c r="AR256" s="160"/>
      <c r="AS256" s="160"/>
      <c r="AT256" s="160"/>
    </row>
    <row r="257" spans="23:46" s="99" customFormat="1" x14ac:dyDescent="0.25">
      <c r="W257" s="160"/>
      <c r="X257" s="160"/>
      <c r="Y257" s="167"/>
      <c r="Z257" s="167"/>
      <c r="AA257" s="167"/>
      <c r="AB257" s="167"/>
      <c r="AC257" s="167"/>
      <c r="AD257" s="167"/>
      <c r="AE257" s="167"/>
      <c r="AF257" s="167"/>
      <c r="AG257" s="167"/>
      <c r="AH257" s="167"/>
      <c r="AI257" s="167"/>
      <c r="AJ257" s="167"/>
      <c r="AK257" s="167"/>
      <c r="AL257" s="167"/>
      <c r="AM257" s="167"/>
      <c r="AN257" s="167"/>
      <c r="AO257" s="167"/>
      <c r="AP257" s="160"/>
      <c r="AQ257" s="160"/>
      <c r="AR257" s="160"/>
      <c r="AS257" s="160"/>
      <c r="AT257" s="160"/>
    </row>
    <row r="258" spans="23:46" s="99" customFormat="1" x14ac:dyDescent="0.25">
      <c r="W258" s="160"/>
      <c r="X258" s="160"/>
      <c r="Y258" s="167"/>
      <c r="Z258" s="167"/>
      <c r="AA258" s="167"/>
      <c r="AB258" s="167"/>
      <c r="AC258" s="167"/>
      <c r="AD258" s="167"/>
      <c r="AE258" s="167"/>
      <c r="AF258" s="167"/>
      <c r="AG258" s="167"/>
      <c r="AH258" s="167"/>
      <c r="AI258" s="167"/>
      <c r="AJ258" s="167"/>
      <c r="AK258" s="167"/>
      <c r="AL258" s="167"/>
      <c r="AM258" s="167"/>
      <c r="AN258" s="167"/>
      <c r="AO258" s="167"/>
      <c r="AP258" s="160"/>
      <c r="AQ258" s="160"/>
      <c r="AR258" s="160"/>
      <c r="AS258" s="160"/>
      <c r="AT258" s="160"/>
    </row>
    <row r="259" spans="23:46" s="99" customFormat="1" x14ac:dyDescent="0.25">
      <c r="W259" s="160"/>
      <c r="X259" s="160"/>
      <c r="Y259" s="167"/>
      <c r="Z259" s="167"/>
      <c r="AA259" s="167"/>
      <c r="AB259" s="167"/>
      <c r="AC259" s="167"/>
      <c r="AD259" s="167"/>
      <c r="AE259" s="167"/>
      <c r="AF259" s="167"/>
      <c r="AG259" s="167"/>
      <c r="AH259" s="167"/>
      <c r="AI259" s="167"/>
      <c r="AJ259" s="167"/>
      <c r="AK259" s="167"/>
      <c r="AL259" s="167"/>
      <c r="AM259" s="167"/>
      <c r="AN259" s="167"/>
      <c r="AO259" s="167"/>
      <c r="AP259" s="160"/>
      <c r="AQ259" s="160"/>
      <c r="AR259" s="160"/>
      <c r="AS259" s="160"/>
      <c r="AT259" s="160"/>
    </row>
    <row r="260" spans="23:46" s="99" customFormat="1" x14ac:dyDescent="0.25">
      <c r="W260" s="160"/>
      <c r="X260" s="160"/>
      <c r="Y260" s="167"/>
      <c r="Z260" s="167"/>
      <c r="AA260" s="167"/>
      <c r="AB260" s="167"/>
      <c r="AC260" s="167"/>
      <c r="AD260" s="167"/>
      <c r="AE260" s="167"/>
      <c r="AF260" s="167"/>
      <c r="AG260" s="167"/>
      <c r="AH260" s="167"/>
      <c r="AI260" s="167"/>
      <c r="AJ260" s="167"/>
      <c r="AK260" s="167"/>
      <c r="AL260" s="167"/>
      <c r="AM260" s="167"/>
      <c r="AN260" s="167"/>
      <c r="AO260" s="167"/>
      <c r="AP260" s="160"/>
      <c r="AQ260" s="160"/>
      <c r="AR260" s="160"/>
      <c r="AS260" s="160"/>
      <c r="AT260" s="160"/>
    </row>
    <row r="261" spans="23:46" s="99" customFormat="1" x14ac:dyDescent="0.25">
      <c r="W261" s="160"/>
      <c r="X261" s="160"/>
      <c r="Y261" s="167"/>
      <c r="Z261" s="167"/>
      <c r="AA261" s="167"/>
      <c r="AB261" s="167"/>
      <c r="AC261" s="167"/>
      <c r="AD261" s="167"/>
      <c r="AE261" s="167"/>
      <c r="AF261" s="167"/>
      <c r="AG261" s="167"/>
      <c r="AH261" s="167"/>
      <c r="AI261" s="167"/>
      <c r="AJ261" s="167"/>
      <c r="AK261" s="167"/>
      <c r="AL261" s="167"/>
      <c r="AM261" s="167"/>
      <c r="AN261" s="167"/>
      <c r="AO261" s="167"/>
      <c r="AP261" s="160"/>
      <c r="AQ261" s="160"/>
      <c r="AR261" s="160"/>
      <c r="AS261" s="160"/>
      <c r="AT261" s="160"/>
    </row>
    <row r="262" spans="23:46" s="99" customFormat="1" x14ac:dyDescent="0.25">
      <c r="W262" s="160"/>
      <c r="X262" s="160"/>
      <c r="Y262" s="167"/>
      <c r="Z262" s="167"/>
      <c r="AA262" s="167"/>
      <c r="AB262" s="167"/>
      <c r="AC262" s="167"/>
      <c r="AD262" s="167"/>
      <c r="AE262" s="167"/>
      <c r="AF262" s="167"/>
      <c r="AG262" s="167"/>
      <c r="AH262" s="167"/>
      <c r="AI262" s="167"/>
      <c r="AJ262" s="167"/>
      <c r="AK262" s="167"/>
      <c r="AL262" s="167"/>
      <c r="AM262" s="167"/>
      <c r="AN262" s="167"/>
      <c r="AO262" s="167"/>
      <c r="AP262" s="160"/>
      <c r="AQ262" s="160"/>
      <c r="AR262" s="160"/>
      <c r="AS262" s="160"/>
      <c r="AT262" s="160"/>
    </row>
    <row r="263" spans="23:46" s="99" customFormat="1" x14ac:dyDescent="0.25">
      <c r="W263" s="160"/>
      <c r="X263" s="160"/>
      <c r="Y263" s="167"/>
      <c r="Z263" s="167"/>
      <c r="AA263" s="167"/>
      <c r="AB263" s="167"/>
      <c r="AC263" s="167"/>
      <c r="AD263" s="167"/>
      <c r="AE263" s="167"/>
      <c r="AF263" s="167"/>
      <c r="AG263" s="167"/>
      <c r="AH263" s="167"/>
      <c r="AI263" s="167"/>
      <c r="AJ263" s="167"/>
      <c r="AK263" s="167"/>
      <c r="AL263" s="167"/>
      <c r="AM263" s="167"/>
      <c r="AN263" s="167"/>
      <c r="AO263" s="167"/>
      <c r="AP263" s="160"/>
      <c r="AQ263" s="160"/>
      <c r="AR263" s="160"/>
      <c r="AS263" s="160"/>
      <c r="AT263" s="160"/>
    </row>
    <row r="264" spans="23:46" s="99" customFormat="1" x14ac:dyDescent="0.25">
      <c r="W264" s="160"/>
      <c r="X264" s="160"/>
      <c r="Y264" s="167"/>
      <c r="Z264" s="167"/>
      <c r="AA264" s="167"/>
      <c r="AB264" s="167"/>
      <c r="AC264" s="167"/>
      <c r="AD264" s="167"/>
      <c r="AE264" s="167"/>
      <c r="AF264" s="167"/>
      <c r="AG264" s="167"/>
      <c r="AH264" s="167"/>
      <c r="AI264" s="167"/>
      <c r="AJ264" s="167"/>
      <c r="AK264" s="167"/>
      <c r="AL264" s="167"/>
      <c r="AM264" s="167"/>
      <c r="AN264" s="167"/>
      <c r="AO264" s="167"/>
      <c r="AP264" s="160"/>
      <c r="AQ264" s="160"/>
      <c r="AR264" s="160"/>
      <c r="AS264" s="160"/>
      <c r="AT264" s="160"/>
    </row>
    <row r="265" spans="23:46" s="99" customFormat="1" x14ac:dyDescent="0.25">
      <c r="W265" s="160"/>
      <c r="X265" s="160"/>
      <c r="Y265" s="167"/>
      <c r="Z265" s="167"/>
      <c r="AA265" s="167"/>
      <c r="AB265" s="167"/>
      <c r="AC265" s="167"/>
      <c r="AD265" s="167"/>
      <c r="AE265" s="167"/>
      <c r="AF265" s="167"/>
      <c r="AG265" s="167"/>
      <c r="AH265" s="167"/>
      <c r="AI265" s="167"/>
      <c r="AJ265" s="167"/>
      <c r="AK265" s="167"/>
      <c r="AL265" s="167"/>
      <c r="AM265" s="167"/>
      <c r="AN265" s="167"/>
      <c r="AO265" s="167"/>
      <c r="AP265" s="160"/>
      <c r="AQ265" s="160"/>
      <c r="AR265" s="160"/>
      <c r="AS265" s="160"/>
      <c r="AT265" s="160"/>
    </row>
    <row r="266" spans="23:46" s="99" customFormat="1" x14ac:dyDescent="0.25">
      <c r="W266" s="160"/>
      <c r="X266" s="160"/>
      <c r="Y266" s="167"/>
      <c r="Z266" s="167"/>
      <c r="AA266" s="167"/>
      <c r="AB266" s="167"/>
      <c r="AC266" s="167"/>
      <c r="AD266" s="167"/>
      <c r="AE266" s="167"/>
      <c r="AF266" s="167"/>
      <c r="AG266" s="167"/>
      <c r="AH266" s="167"/>
      <c r="AI266" s="167"/>
      <c r="AJ266" s="167"/>
      <c r="AK266" s="167"/>
      <c r="AL266" s="167"/>
      <c r="AM266" s="167"/>
      <c r="AN266" s="167"/>
      <c r="AO266" s="167"/>
      <c r="AP266" s="160"/>
      <c r="AQ266" s="160"/>
      <c r="AR266" s="160"/>
      <c r="AS266" s="160"/>
      <c r="AT266" s="160"/>
    </row>
    <row r="267" spans="23:46" s="99" customFormat="1" x14ac:dyDescent="0.25">
      <c r="W267" s="160"/>
      <c r="X267" s="160"/>
      <c r="Y267" s="167"/>
      <c r="Z267" s="167"/>
      <c r="AA267" s="167"/>
      <c r="AB267" s="167"/>
      <c r="AC267" s="167"/>
      <c r="AD267" s="167"/>
      <c r="AE267" s="167"/>
      <c r="AF267" s="167"/>
      <c r="AG267" s="167"/>
      <c r="AH267" s="167"/>
      <c r="AI267" s="167"/>
      <c r="AJ267" s="167"/>
      <c r="AK267" s="167"/>
      <c r="AL267" s="167"/>
      <c r="AM267" s="167"/>
      <c r="AN267" s="167"/>
      <c r="AO267" s="167"/>
      <c r="AP267" s="160"/>
      <c r="AQ267" s="160"/>
      <c r="AR267" s="160"/>
      <c r="AS267" s="160"/>
      <c r="AT267" s="160"/>
    </row>
    <row r="268" spans="23:46" s="99" customFormat="1" x14ac:dyDescent="0.25">
      <c r="W268" s="160"/>
      <c r="X268" s="160"/>
      <c r="Y268" s="167"/>
      <c r="Z268" s="167"/>
      <c r="AA268" s="167"/>
      <c r="AB268" s="167"/>
      <c r="AC268" s="167"/>
      <c r="AD268" s="167"/>
      <c r="AE268" s="167"/>
      <c r="AF268" s="167"/>
      <c r="AG268" s="167"/>
      <c r="AH268" s="167"/>
      <c r="AI268" s="167"/>
      <c r="AJ268" s="167"/>
      <c r="AK268" s="167"/>
      <c r="AL268" s="167"/>
      <c r="AM268" s="167"/>
      <c r="AN268" s="167"/>
      <c r="AO268" s="167"/>
      <c r="AP268" s="160"/>
      <c r="AQ268" s="160"/>
      <c r="AR268" s="160"/>
      <c r="AS268" s="160"/>
      <c r="AT268" s="160"/>
    </row>
    <row r="269" spans="23:46" s="99" customFormat="1" x14ac:dyDescent="0.25">
      <c r="W269" s="160"/>
      <c r="X269" s="160"/>
      <c r="Y269" s="167"/>
      <c r="Z269" s="167"/>
      <c r="AA269" s="167"/>
      <c r="AB269" s="167"/>
      <c r="AC269" s="167"/>
      <c r="AD269" s="167"/>
      <c r="AE269" s="167"/>
      <c r="AF269" s="167"/>
      <c r="AG269" s="167"/>
      <c r="AH269" s="167"/>
      <c r="AI269" s="167"/>
      <c r="AJ269" s="167"/>
      <c r="AK269" s="167"/>
      <c r="AL269" s="167"/>
      <c r="AM269" s="167"/>
      <c r="AN269" s="167"/>
      <c r="AO269" s="167"/>
      <c r="AP269" s="160"/>
      <c r="AQ269" s="160"/>
      <c r="AR269" s="160"/>
      <c r="AS269" s="160"/>
      <c r="AT269" s="160"/>
    </row>
    <row r="270" spans="23:46" s="99" customFormat="1" x14ac:dyDescent="0.25">
      <c r="W270" s="160"/>
      <c r="X270" s="160"/>
      <c r="Y270" s="167"/>
      <c r="Z270" s="167"/>
      <c r="AA270" s="167"/>
      <c r="AB270" s="167"/>
      <c r="AC270" s="167"/>
      <c r="AD270" s="167"/>
      <c r="AE270" s="167"/>
      <c r="AF270" s="167"/>
      <c r="AG270" s="167"/>
      <c r="AH270" s="167"/>
      <c r="AI270" s="167"/>
      <c r="AJ270" s="167"/>
      <c r="AK270" s="167"/>
      <c r="AL270" s="167"/>
      <c r="AM270" s="167"/>
      <c r="AN270" s="167"/>
      <c r="AO270" s="167"/>
      <c r="AP270" s="160"/>
      <c r="AQ270" s="160"/>
      <c r="AR270" s="160"/>
      <c r="AS270" s="160"/>
      <c r="AT270" s="160"/>
    </row>
    <row r="271" spans="23:46" s="99" customFormat="1" x14ac:dyDescent="0.25">
      <c r="W271" s="160"/>
      <c r="X271" s="160"/>
      <c r="Y271" s="167"/>
      <c r="Z271" s="167"/>
      <c r="AA271" s="167"/>
      <c r="AB271" s="167"/>
      <c r="AC271" s="167"/>
      <c r="AD271" s="167"/>
      <c r="AE271" s="167"/>
      <c r="AF271" s="167"/>
      <c r="AG271" s="167"/>
      <c r="AH271" s="167"/>
      <c r="AI271" s="167"/>
      <c r="AJ271" s="167"/>
      <c r="AK271" s="167"/>
      <c r="AL271" s="167"/>
      <c r="AM271" s="167"/>
      <c r="AN271" s="167"/>
      <c r="AO271" s="167"/>
      <c r="AP271" s="160"/>
      <c r="AQ271" s="160"/>
      <c r="AR271" s="160"/>
      <c r="AS271" s="160"/>
      <c r="AT271" s="160"/>
    </row>
    <row r="272" spans="23:46" s="99" customFormat="1" x14ac:dyDescent="0.25">
      <c r="W272" s="160"/>
      <c r="X272" s="160"/>
      <c r="Y272" s="167"/>
      <c r="Z272" s="167"/>
      <c r="AA272" s="167"/>
      <c r="AB272" s="167"/>
      <c r="AC272" s="167"/>
      <c r="AD272" s="167"/>
      <c r="AE272" s="167"/>
      <c r="AF272" s="167"/>
      <c r="AG272" s="167"/>
      <c r="AH272" s="167"/>
      <c r="AI272" s="167"/>
      <c r="AJ272" s="167"/>
      <c r="AK272" s="167"/>
      <c r="AL272" s="167"/>
      <c r="AM272" s="167"/>
      <c r="AN272" s="167"/>
      <c r="AO272" s="167"/>
      <c r="AP272" s="160"/>
      <c r="AQ272" s="160"/>
      <c r="AR272" s="160"/>
      <c r="AS272" s="160"/>
      <c r="AT272" s="160"/>
    </row>
    <row r="273" spans="23:46" s="99" customFormat="1" x14ac:dyDescent="0.25">
      <c r="W273" s="160"/>
      <c r="X273" s="160"/>
      <c r="Y273" s="167"/>
      <c r="Z273" s="167"/>
      <c r="AA273" s="167"/>
      <c r="AB273" s="167"/>
      <c r="AC273" s="167"/>
      <c r="AD273" s="167"/>
      <c r="AE273" s="167"/>
      <c r="AF273" s="167"/>
      <c r="AG273" s="167"/>
      <c r="AH273" s="167"/>
      <c r="AI273" s="167"/>
      <c r="AJ273" s="167"/>
      <c r="AK273" s="167"/>
      <c r="AL273" s="167"/>
      <c r="AM273" s="167"/>
      <c r="AN273" s="167"/>
      <c r="AO273" s="167"/>
      <c r="AP273" s="160"/>
      <c r="AQ273" s="160"/>
      <c r="AR273" s="160"/>
      <c r="AS273" s="160"/>
      <c r="AT273" s="160"/>
    </row>
    <row r="274" spans="23:46" s="99" customFormat="1" x14ac:dyDescent="0.25">
      <c r="W274" s="160"/>
      <c r="X274" s="160"/>
      <c r="Y274" s="167"/>
      <c r="Z274" s="167"/>
      <c r="AA274" s="167"/>
      <c r="AB274" s="167"/>
      <c r="AC274" s="167"/>
      <c r="AD274" s="167"/>
      <c r="AE274" s="167"/>
      <c r="AF274" s="167"/>
      <c r="AG274" s="167"/>
      <c r="AH274" s="167"/>
      <c r="AI274" s="167"/>
      <c r="AJ274" s="167"/>
      <c r="AK274" s="167"/>
      <c r="AL274" s="167"/>
      <c r="AM274" s="167"/>
      <c r="AN274" s="167"/>
      <c r="AO274" s="167"/>
      <c r="AP274" s="160"/>
      <c r="AQ274" s="160"/>
      <c r="AR274" s="160"/>
      <c r="AS274" s="160"/>
      <c r="AT274" s="160"/>
    </row>
    <row r="275" spans="23:46" s="99" customFormat="1" x14ac:dyDescent="0.25">
      <c r="W275" s="160"/>
      <c r="X275" s="160"/>
      <c r="Y275" s="167"/>
      <c r="Z275" s="167"/>
      <c r="AA275" s="167"/>
      <c r="AB275" s="167"/>
      <c r="AC275" s="167"/>
      <c r="AD275" s="167"/>
      <c r="AE275" s="167"/>
      <c r="AF275" s="167"/>
      <c r="AG275" s="167"/>
      <c r="AH275" s="167"/>
      <c r="AI275" s="167"/>
      <c r="AJ275" s="167"/>
      <c r="AK275" s="167"/>
      <c r="AL275" s="167"/>
      <c r="AM275" s="167"/>
      <c r="AN275" s="167"/>
      <c r="AO275" s="167"/>
      <c r="AP275" s="160"/>
      <c r="AQ275" s="160"/>
      <c r="AR275" s="160"/>
      <c r="AS275" s="160"/>
      <c r="AT275" s="160"/>
    </row>
    <row r="276" spans="23:46" s="99" customFormat="1" x14ac:dyDescent="0.25">
      <c r="W276" s="160"/>
      <c r="X276" s="160"/>
      <c r="Y276" s="167"/>
      <c r="Z276" s="167"/>
      <c r="AA276" s="167"/>
      <c r="AB276" s="167"/>
      <c r="AC276" s="167"/>
      <c r="AD276" s="167"/>
      <c r="AE276" s="167"/>
      <c r="AF276" s="167"/>
      <c r="AG276" s="167"/>
      <c r="AH276" s="167"/>
      <c r="AI276" s="167"/>
      <c r="AJ276" s="167"/>
      <c r="AK276" s="167"/>
      <c r="AL276" s="167"/>
      <c r="AM276" s="167"/>
      <c r="AN276" s="167"/>
      <c r="AO276" s="167"/>
      <c r="AP276" s="160"/>
      <c r="AQ276" s="160"/>
      <c r="AR276" s="160"/>
      <c r="AS276" s="160"/>
      <c r="AT276" s="160"/>
    </row>
    <row r="277" spans="23:46" s="99" customFormat="1" x14ac:dyDescent="0.25">
      <c r="W277" s="160"/>
      <c r="X277" s="160"/>
      <c r="Y277" s="167"/>
      <c r="Z277" s="167"/>
      <c r="AA277" s="167"/>
      <c r="AB277" s="167"/>
      <c r="AC277" s="167"/>
      <c r="AD277" s="167"/>
      <c r="AE277" s="167"/>
      <c r="AF277" s="167"/>
      <c r="AG277" s="167"/>
      <c r="AH277" s="167"/>
      <c r="AI277" s="167"/>
      <c r="AJ277" s="167"/>
      <c r="AK277" s="167"/>
      <c r="AL277" s="167"/>
      <c r="AM277" s="167"/>
      <c r="AN277" s="167"/>
      <c r="AO277" s="167"/>
      <c r="AP277" s="160"/>
      <c r="AQ277" s="160"/>
      <c r="AR277" s="160"/>
      <c r="AS277" s="160"/>
      <c r="AT277" s="160"/>
    </row>
    <row r="278" spans="23:46" s="99" customFormat="1" x14ac:dyDescent="0.25">
      <c r="W278" s="160"/>
      <c r="X278" s="160"/>
      <c r="Y278" s="167"/>
      <c r="Z278" s="167"/>
      <c r="AA278" s="167"/>
      <c r="AB278" s="167"/>
      <c r="AC278" s="167"/>
      <c r="AD278" s="167"/>
      <c r="AE278" s="167"/>
      <c r="AF278" s="167"/>
      <c r="AG278" s="167"/>
      <c r="AH278" s="167"/>
      <c r="AI278" s="167"/>
      <c r="AJ278" s="167"/>
      <c r="AK278" s="167"/>
      <c r="AL278" s="167"/>
      <c r="AM278" s="167"/>
      <c r="AN278" s="167"/>
      <c r="AO278" s="167"/>
      <c r="AP278" s="160"/>
      <c r="AQ278" s="160"/>
      <c r="AR278" s="160"/>
      <c r="AS278" s="160"/>
      <c r="AT278" s="160"/>
    </row>
    <row r="279" spans="23:46" s="99" customFormat="1" x14ac:dyDescent="0.25">
      <c r="W279" s="160"/>
      <c r="X279" s="160"/>
      <c r="Y279" s="167"/>
      <c r="Z279" s="167"/>
      <c r="AA279" s="167"/>
      <c r="AB279" s="167"/>
      <c r="AC279" s="167"/>
      <c r="AD279" s="167"/>
      <c r="AE279" s="167"/>
      <c r="AF279" s="167"/>
      <c r="AG279" s="167"/>
      <c r="AH279" s="167"/>
      <c r="AI279" s="167"/>
      <c r="AJ279" s="167"/>
      <c r="AK279" s="167"/>
      <c r="AL279" s="167"/>
      <c r="AM279" s="167"/>
      <c r="AN279" s="167"/>
      <c r="AO279" s="167"/>
      <c r="AP279" s="160"/>
      <c r="AQ279" s="160"/>
      <c r="AR279" s="160"/>
      <c r="AS279" s="160"/>
      <c r="AT279" s="160"/>
    </row>
    <row r="280" spans="23:46" s="99" customFormat="1" x14ac:dyDescent="0.25">
      <c r="W280" s="160"/>
      <c r="X280" s="160"/>
      <c r="Y280" s="167"/>
      <c r="Z280" s="167"/>
      <c r="AA280" s="167"/>
      <c r="AB280" s="167"/>
      <c r="AC280" s="167"/>
      <c r="AD280" s="167"/>
      <c r="AE280" s="167"/>
      <c r="AF280" s="167"/>
      <c r="AG280" s="167"/>
      <c r="AH280" s="167"/>
      <c r="AI280" s="167"/>
      <c r="AJ280" s="167"/>
      <c r="AK280" s="167"/>
      <c r="AL280" s="167"/>
      <c r="AM280" s="167"/>
      <c r="AN280" s="167"/>
      <c r="AO280" s="167"/>
      <c r="AP280" s="160"/>
      <c r="AQ280" s="160"/>
      <c r="AR280" s="160"/>
      <c r="AS280" s="160"/>
      <c r="AT280" s="160"/>
    </row>
    <row r="281" spans="23:46" s="99" customFormat="1" x14ac:dyDescent="0.25">
      <c r="W281" s="160"/>
      <c r="X281" s="160"/>
      <c r="Y281" s="167"/>
      <c r="Z281" s="167"/>
      <c r="AA281" s="167"/>
      <c r="AB281" s="167"/>
      <c r="AC281" s="167"/>
      <c r="AD281" s="167"/>
      <c r="AE281" s="167"/>
      <c r="AF281" s="167"/>
      <c r="AG281" s="167"/>
      <c r="AH281" s="167"/>
      <c r="AI281" s="167"/>
      <c r="AJ281" s="167"/>
      <c r="AK281" s="167"/>
      <c r="AL281" s="167"/>
      <c r="AM281" s="167"/>
      <c r="AN281" s="167"/>
      <c r="AO281" s="167"/>
      <c r="AP281" s="160"/>
      <c r="AQ281" s="160"/>
      <c r="AR281" s="160"/>
      <c r="AS281" s="160"/>
      <c r="AT281" s="160"/>
    </row>
    <row r="282" spans="23:46" s="99" customFormat="1" x14ac:dyDescent="0.25">
      <c r="W282" s="160"/>
      <c r="X282" s="160"/>
      <c r="Y282" s="167"/>
      <c r="Z282" s="167"/>
      <c r="AA282" s="167"/>
      <c r="AB282" s="167"/>
      <c r="AC282" s="167"/>
      <c r="AD282" s="167"/>
      <c r="AE282" s="167"/>
      <c r="AF282" s="167"/>
      <c r="AG282" s="167"/>
      <c r="AH282" s="167"/>
      <c r="AI282" s="167"/>
      <c r="AJ282" s="167"/>
      <c r="AK282" s="167"/>
      <c r="AL282" s="167"/>
      <c r="AM282" s="167"/>
      <c r="AN282" s="167"/>
      <c r="AO282" s="167"/>
      <c r="AP282" s="160"/>
      <c r="AQ282" s="160"/>
      <c r="AR282" s="160"/>
      <c r="AS282" s="160"/>
      <c r="AT282" s="160"/>
    </row>
    <row r="283" spans="23:46" s="99" customFormat="1" x14ac:dyDescent="0.25">
      <c r="W283" s="160"/>
      <c r="X283" s="160"/>
      <c r="Y283" s="167"/>
      <c r="Z283" s="167"/>
      <c r="AA283" s="167"/>
      <c r="AB283" s="167"/>
      <c r="AC283" s="167"/>
      <c r="AD283" s="167"/>
      <c r="AE283" s="167"/>
      <c r="AF283" s="167"/>
      <c r="AG283" s="167"/>
      <c r="AH283" s="167"/>
      <c r="AI283" s="167"/>
      <c r="AJ283" s="167"/>
      <c r="AK283" s="167"/>
      <c r="AL283" s="167"/>
      <c r="AM283" s="167"/>
      <c r="AN283" s="167"/>
      <c r="AO283" s="167"/>
      <c r="AP283" s="160"/>
      <c r="AQ283" s="160"/>
      <c r="AR283" s="160"/>
      <c r="AS283" s="160"/>
      <c r="AT283" s="160"/>
    </row>
    <row r="284" spans="23:46" s="99" customFormat="1" x14ac:dyDescent="0.25">
      <c r="W284" s="160"/>
      <c r="X284" s="160"/>
      <c r="Y284" s="167"/>
      <c r="Z284" s="167"/>
      <c r="AA284" s="167"/>
      <c r="AB284" s="167"/>
      <c r="AC284" s="167"/>
      <c r="AD284" s="167"/>
      <c r="AE284" s="167"/>
      <c r="AF284" s="167"/>
      <c r="AG284" s="167"/>
      <c r="AH284" s="167"/>
      <c r="AI284" s="167"/>
      <c r="AJ284" s="167"/>
      <c r="AK284" s="167"/>
      <c r="AL284" s="167"/>
      <c r="AM284" s="167"/>
      <c r="AN284" s="167"/>
      <c r="AO284" s="167"/>
      <c r="AP284" s="160"/>
      <c r="AQ284" s="160"/>
      <c r="AR284" s="160"/>
      <c r="AS284" s="160"/>
      <c r="AT284" s="160"/>
    </row>
    <row r="285" spans="23:46" s="99" customFormat="1" x14ac:dyDescent="0.25">
      <c r="W285" s="160"/>
      <c r="X285" s="160"/>
      <c r="Y285" s="167"/>
      <c r="Z285" s="167"/>
      <c r="AA285" s="167"/>
      <c r="AB285" s="167"/>
      <c r="AC285" s="167"/>
      <c r="AD285" s="167"/>
      <c r="AE285" s="167"/>
      <c r="AF285" s="167"/>
      <c r="AG285" s="167"/>
      <c r="AH285" s="167"/>
      <c r="AI285" s="167"/>
      <c r="AJ285" s="167"/>
      <c r="AK285" s="167"/>
      <c r="AL285" s="167"/>
      <c r="AM285" s="167"/>
      <c r="AN285" s="167"/>
      <c r="AO285" s="167"/>
      <c r="AP285" s="160"/>
      <c r="AQ285" s="160"/>
      <c r="AR285" s="160"/>
      <c r="AS285" s="160"/>
      <c r="AT285" s="160"/>
    </row>
    <row r="286" spans="23:46" s="99" customFormat="1" x14ac:dyDescent="0.25">
      <c r="W286" s="160"/>
      <c r="X286" s="160"/>
      <c r="Y286" s="167"/>
      <c r="Z286" s="167"/>
      <c r="AA286" s="167"/>
      <c r="AB286" s="167"/>
      <c r="AC286" s="167"/>
      <c r="AD286" s="167"/>
      <c r="AE286" s="167"/>
      <c r="AF286" s="167"/>
      <c r="AG286" s="167"/>
      <c r="AH286" s="167"/>
      <c r="AI286" s="167"/>
      <c r="AJ286" s="167"/>
      <c r="AK286" s="167"/>
      <c r="AL286" s="167"/>
      <c r="AM286" s="167"/>
      <c r="AN286" s="167"/>
      <c r="AO286" s="167"/>
      <c r="AP286" s="160"/>
      <c r="AQ286" s="160"/>
      <c r="AR286" s="160"/>
      <c r="AS286" s="160"/>
      <c r="AT286" s="160"/>
    </row>
    <row r="287" spans="23:46" s="99" customFormat="1" x14ac:dyDescent="0.25">
      <c r="W287" s="160"/>
      <c r="X287" s="160"/>
      <c r="Y287" s="167"/>
      <c r="Z287" s="167"/>
      <c r="AA287" s="167"/>
      <c r="AB287" s="167"/>
      <c r="AC287" s="167"/>
      <c r="AD287" s="167"/>
      <c r="AE287" s="167"/>
      <c r="AF287" s="167"/>
      <c r="AG287" s="167"/>
      <c r="AH287" s="167"/>
      <c r="AI287" s="167"/>
      <c r="AJ287" s="167"/>
      <c r="AK287" s="167"/>
      <c r="AL287" s="167"/>
      <c r="AM287" s="167"/>
      <c r="AN287" s="167"/>
      <c r="AO287" s="167"/>
      <c r="AP287" s="160"/>
      <c r="AQ287" s="160"/>
      <c r="AR287" s="160"/>
      <c r="AS287" s="160"/>
      <c r="AT287" s="160"/>
    </row>
    <row r="288" spans="23:46" s="99" customFormat="1" x14ac:dyDescent="0.25">
      <c r="W288" s="160"/>
      <c r="X288" s="160"/>
      <c r="Y288" s="167"/>
      <c r="Z288" s="167"/>
      <c r="AA288" s="167"/>
      <c r="AB288" s="167"/>
      <c r="AC288" s="167"/>
      <c r="AD288" s="167"/>
      <c r="AE288" s="167"/>
      <c r="AF288" s="167"/>
      <c r="AG288" s="167"/>
      <c r="AH288" s="167"/>
      <c r="AI288" s="167"/>
      <c r="AJ288" s="167"/>
      <c r="AK288" s="167"/>
      <c r="AL288" s="167"/>
      <c r="AM288" s="167"/>
      <c r="AN288" s="167"/>
      <c r="AO288" s="167"/>
      <c r="AP288" s="160"/>
      <c r="AQ288" s="160"/>
      <c r="AR288" s="160"/>
      <c r="AS288" s="160"/>
      <c r="AT288" s="160"/>
    </row>
    <row r="289" spans="23:46" s="99" customFormat="1" x14ac:dyDescent="0.25">
      <c r="W289" s="160"/>
      <c r="X289" s="160"/>
      <c r="Y289" s="167"/>
      <c r="Z289" s="167"/>
      <c r="AA289" s="167"/>
      <c r="AB289" s="167"/>
      <c r="AC289" s="167"/>
      <c r="AD289" s="167"/>
      <c r="AE289" s="167"/>
      <c r="AF289" s="167"/>
      <c r="AG289" s="167"/>
      <c r="AH289" s="167"/>
      <c r="AI289" s="167"/>
      <c r="AJ289" s="167"/>
      <c r="AK289" s="167"/>
      <c r="AL289" s="167"/>
      <c r="AM289" s="167"/>
      <c r="AN289" s="167"/>
      <c r="AO289" s="167"/>
      <c r="AP289" s="160"/>
      <c r="AQ289" s="160"/>
      <c r="AR289" s="160"/>
      <c r="AS289" s="160"/>
      <c r="AT289" s="160"/>
    </row>
    <row r="290" spans="23:46" s="99" customFormat="1" x14ac:dyDescent="0.25">
      <c r="W290" s="160"/>
      <c r="X290" s="160"/>
      <c r="Y290" s="167"/>
      <c r="Z290" s="167"/>
      <c r="AA290" s="167"/>
      <c r="AB290" s="167"/>
      <c r="AC290" s="167"/>
      <c r="AD290" s="167"/>
      <c r="AE290" s="167"/>
      <c r="AF290" s="167"/>
      <c r="AG290" s="167"/>
      <c r="AH290" s="167"/>
      <c r="AI290" s="167"/>
      <c r="AJ290" s="167"/>
      <c r="AK290" s="167"/>
      <c r="AL290" s="167"/>
      <c r="AM290" s="167"/>
      <c r="AN290" s="167"/>
      <c r="AO290" s="167"/>
      <c r="AP290" s="160"/>
      <c r="AQ290" s="160"/>
      <c r="AR290" s="160"/>
      <c r="AS290" s="160"/>
      <c r="AT290" s="160"/>
    </row>
    <row r="291" spans="23:46" s="99" customFormat="1" x14ac:dyDescent="0.25">
      <c r="W291" s="160"/>
      <c r="X291" s="160"/>
      <c r="Y291" s="167"/>
      <c r="Z291" s="167"/>
      <c r="AA291" s="167"/>
      <c r="AB291" s="167"/>
      <c r="AC291" s="167"/>
      <c r="AD291" s="167"/>
      <c r="AE291" s="167"/>
      <c r="AF291" s="167"/>
      <c r="AG291" s="167"/>
      <c r="AH291" s="167"/>
      <c r="AI291" s="167"/>
      <c r="AJ291" s="167"/>
      <c r="AK291" s="167"/>
      <c r="AL291" s="167"/>
      <c r="AM291" s="167"/>
      <c r="AN291" s="167"/>
      <c r="AO291" s="167"/>
      <c r="AP291" s="160"/>
      <c r="AQ291" s="160"/>
      <c r="AR291" s="160"/>
      <c r="AS291" s="160"/>
      <c r="AT291" s="160"/>
    </row>
    <row r="292" spans="23:46" s="99" customFormat="1" x14ac:dyDescent="0.25">
      <c r="W292" s="160"/>
      <c r="X292" s="160"/>
      <c r="Y292" s="167"/>
      <c r="Z292" s="167"/>
      <c r="AA292" s="167"/>
      <c r="AB292" s="167"/>
      <c r="AC292" s="167"/>
      <c r="AD292" s="167"/>
      <c r="AE292" s="167"/>
      <c r="AF292" s="167"/>
      <c r="AG292" s="167"/>
      <c r="AH292" s="167"/>
      <c r="AI292" s="167"/>
      <c r="AJ292" s="167"/>
      <c r="AK292" s="167"/>
      <c r="AL292" s="167"/>
      <c r="AM292" s="167"/>
      <c r="AN292" s="167"/>
      <c r="AO292" s="167"/>
      <c r="AP292" s="160"/>
      <c r="AQ292" s="160"/>
      <c r="AR292" s="160"/>
      <c r="AS292" s="160"/>
      <c r="AT292" s="160"/>
    </row>
    <row r="293" spans="23:46" s="99" customFormat="1" x14ac:dyDescent="0.25">
      <c r="W293" s="160"/>
      <c r="X293" s="160"/>
      <c r="Y293" s="167"/>
      <c r="Z293" s="167"/>
      <c r="AA293" s="167"/>
      <c r="AB293" s="167"/>
      <c r="AC293" s="167"/>
      <c r="AD293" s="167"/>
      <c r="AE293" s="167"/>
      <c r="AF293" s="167"/>
      <c r="AG293" s="167"/>
      <c r="AH293" s="167"/>
      <c r="AI293" s="167"/>
      <c r="AJ293" s="167"/>
      <c r="AK293" s="167"/>
      <c r="AL293" s="167"/>
      <c r="AM293" s="167"/>
      <c r="AN293" s="167"/>
      <c r="AO293" s="167"/>
      <c r="AP293" s="160"/>
      <c r="AQ293" s="160"/>
      <c r="AR293" s="160"/>
      <c r="AS293" s="160"/>
      <c r="AT293" s="160"/>
    </row>
    <row r="294" spans="23:46" s="99" customFormat="1" x14ac:dyDescent="0.25">
      <c r="W294" s="160"/>
      <c r="X294" s="160"/>
      <c r="Y294" s="167"/>
      <c r="Z294" s="167"/>
      <c r="AA294" s="167"/>
      <c r="AB294" s="167"/>
      <c r="AC294" s="167"/>
      <c r="AD294" s="167"/>
      <c r="AE294" s="167"/>
      <c r="AF294" s="167"/>
      <c r="AG294" s="167"/>
      <c r="AH294" s="167"/>
      <c r="AI294" s="167"/>
      <c r="AJ294" s="167"/>
      <c r="AK294" s="167"/>
      <c r="AL294" s="167"/>
      <c r="AM294" s="167"/>
      <c r="AN294" s="167"/>
      <c r="AO294" s="167"/>
      <c r="AP294" s="160"/>
      <c r="AQ294" s="160"/>
      <c r="AR294" s="160"/>
      <c r="AS294" s="160"/>
      <c r="AT294" s="160"/>
    </row>
    <row r="295" spans="23:46" s="99" customFormat="1" x14ac:dyDescent="0.25">
      <c r="W295" s="160"/>
      <c r="X295" s="160"/>
      <c r="Y295" s="167"/>
      <c r="Z295" s="167"/>
      <c r="AA295" s="167"/>
      <c r="AB295" s="167"/>
      <c r="AC295" s="167"/>
      <c r="AD295" s="167"/>
      <c r="AE295" s="167"/>
      <c r="AF295" s="167"/>
      <c r="AG295" s="167"/>
      <c r="AH295" s="167"/>
      <c r="AI295" s="167"/>
      <c r="AJ295" s="167"/>
      <c r="AK295" s="167"/>
      <c r="AL295" s="167"/>
      <c r="AM295" s="167"/>
      <c r="AN295" s="167"/>
      <c r="AO295" s="167"/>
      <c r="AP295" s="160"/>
      <c r="AQ295" s="160"/>
      <c r="AR295" s="160"/>
      <c r="AS295" s="160"/>
      <c r="AT295" s="160"/>
    </row>
    <row r="296" spans="23:46" s="99" customFormat="1" x14ac:dyDescent="0.25">
      <c r="W296" s="160"/>
      <c r="X296" s="160"/>
      <c r="Y296" s="167"/>
      <c r="Z296" s="167"/>
      <c r="AA296" s="167"/>
      <c r="AB296" s="167"/>
      <c r="AC296" s="167"/>
      <c r="AD296" s="167"/>
      <c r="AE296" s="167"/>
      <c r="AF296" s="167"/>
      <c r="AG296" s="167"/>
      <c r="AH296" s="167"/>
      <c r="AI296" s="167"/>
      <c r="AJ296" s="167"/>
      <c r="AK296" s="167"/>
      <c r="AL296" s="167"/>
      <c r="AM296" s="167"/>
      <c r="AN296" s="167"/>
      <c r="AO296" s="167"/>
      <c r="AP296" s="160"/>
      <c r="AQ296" s="160"/>
      <c r="AR296" s="160"/>
      <c r="AS296" s="160"/>
      <c r="AT296" s="160"/>
    </row>
    <row r="297" spans="23:46" s="99" customFormat="1" x14ac:dyDescent="0.25">
      <c r="W297" s="160"/>
      <c r="X297" s="160"/>
      <c r="Y297" s="167"/>
      <c r="Z297" s="167"/>
      <c r="AA297" s="167"/>
      <c r="AB297" s="167"/>
      <c r="AC297" s="167"/>
      <c r="AD297" s="167"/>
      <c r="AE297" s="167"/>
      <c r="AF297" s="167"/>
      <c r="AG297" s="167"/>
      <c r="AH297" s="167"/>
      <c r="AI297" s="167"/>
      <c r="AJ297" s="167"/>
      <c r="AK297" s="167"/>
      <c r="AL297" s="167"/>
      <c r="AM297" s="167"/>
      <c r="AN297" s="167"/>
      <c r="AO297" s="167"/>
      <c r="AP297" s="160"/>
      <c r="AQ297" s="160"/>
      <c r="AR297" s="160"/>
      <c r="AS297" s="160"/>
      <c r="AT297" s="160"/>
    </row>
    <row r="298" spans="23:46" s="99" customFormat="1" x14ac:dyDescent="0.25">
      <c r="W298" s="160"/>
      <c r="X298" s="160"/>
      <c r="Y298" s="167"/>
      <c r="Z298" s="167"/>
      <c r="AA298" s="167"/>
      <c r="AB298" s="167"/>
      <c r="AC298" s="167"/>
      <c r="AD298" s="167"/>
      <c r="AE298" s="167"/>
      <c r="AF298" s="167"/>
      <c r="AG298" s="167"/>
      <c r="AH298" s="167"/>
      <c r="AI298" s="167"/>
      <c r="AJ298" s="167"/>
      <c r="AK298" s="167"/>
      <c r="AL298" s="167"/>
      <c r="AM298" s="167"/>
      <c r="AN298" s="167"/>
      <c r="AO298" s="167"/>
      <c r="AP298" s="160"/>
      <c r="AQ298" s="160"/>
      <c r="AR298" s="160"/>
      <c r="AS298" s="160"/>
      <c r="AT298" s="160"/>
    </row>
    <row r="299" spans="23:46" s="99" customFormat="1" x14ac:dyDescent="0.25">
      <c r="W299" s="160"/>
      <c r="X299" s="160"/>
      <c r="Y299" s="167"/>
      <c r="Z299" s="167"/>
      <c r="AA299" s="167"/>
      <c r="AB299" s="167"/>
      <c r="AC299" s="167"/>
      <c r="AD299" s="167"/>
      <c r="AE299" s="167"/>
      <c r="AF299" s="167"/>
      <c r="AG299" s="167"/>
      <c r="AH299" s="167"/>
      <c r="AI299" s="167"/>
      <c r="AJ299" s="167"/>
      <c r="AK299" s="167"/>
      <c r="AL299" s="167"/>
      <c r="AM299" s="167"/>
      <c r="AN299" s="167"/>
      <c r="AO299" s="167"/>
      <c r="AP299" s="160"/>
      <c r="AQ299" s="160"/>
      <c r="AR299" s="160"/>
      <c r="AS299" s="160"/>
      <c r="AT299" s="160"/>
    </row>
    <row r="300" spans="23:46" s="99" customFormat="1" x14ac:dyDescent="0.25">
      <c r="W300" s="160"/>
      <c r="X300" s="160"/>
      <c r="Y300" s="167"/>
      <c r="Z300" s="167"/>
      <c r="AA300" s="167"/>
      <c r="AB300" s="167"/>
      <c r="AC300" s="167"/>
      <c r="AD300" s="167"/>
      <c r="AE300" s="167"/>
      <c r="AF300" s="167"/>
      <c r="AG300" s="167"/>
      <c r="AH300" s="167"/>
      <c r="AI300" s="167"/>
      <c r="AJ300" s="167"/>
      <c r="AK300" s="167"/>
      <c r="AL300" s="167"/>
      <c r="AM300" s="167"/>
      <c r="AN300" s="167"/>
      <c r="AO300" s="167"/>
      <c r="AP300" s="160"/>
      <c r="AQ300" s="160"/>
      <c r="AR300" s="160"/>
      <c r="AS300" s="160"/>
      <c r="AT300" s="160"/>
    </row>
    <row r="301" spans="23:46" s="99" customFormat="1" x14ac:dyDescent="0.25">
      <c r="W301" s="160"/>
      <c r="X301" s="160"/>
      <c r="Y301" s="167"/>
      <c r="Z301" s="167"/>
      <c r="AA301" s="167"/>
      <c r="AB301" s="167"/>
      <c r="AC301" s="167"/>
      <c r="AD301" s="167"/>
      <c r="AE301" s="167"/>
      <c r="AF301" s="167"/>
      <c r="AG301" s="167"/>
      <c r="AH301" s="167"/>
      <c r="AI301" s="167"/>
      <c r="AJ301" s="167"/>
      <c r="AK301" s="167"/>
      <c r="AL301" s="167"/>
      <c r="AM301" s="167"/>
      <c r="AN301" s="167"/>
      <c r="AO301" s="167"/>
      <c r="AP301" s="160"/>
      <c r="AQ301" s="160"/>
      <c r="AR301" s="160"/>
      <c r="AS301" s="160"/>
      <c r="AT301" s="160"/>
    </row>
    <row r="302" spans="23:46" s="99" customFormat="1" x14ac:dyDescent="0.25">
      <c r="W302" s="160"/>
      <c r="X302" s="160"/>
      <c r="Y302" s="167"/>
      <c r="Z302" s="167"/>
      <c r="AA302" s="167"/>
      <c r="AB302" s="167"/>
      <c r="AC302" s="167"/>
      <c r="AD302" s="167"/>
      <c r="AE302" s="167"/>
      <c r="AF302" s="167"/>
      <c r="AG302" s="167"/>
      <c r="AH302" s="167"/>
      <c r="AI302" s="167"/>
      <c r="AJ302" s="167"/>
      <c r="AK302" s="167"/>
      <c r="AL302" s="167"/>
      <c r="AM302" s="167"/>
      <c r="AN302" s="167"/>
      <c r="AO302" s="167"/>
      <c r="AP302" s="160"/>
      <c r="AQ302" s="160"/>
      <c r="AR302" s="160"/>
      <c r="AS302" s="160"/>
      <c r="AT302" s="160"/>
    </row>
    <row r="303" spans="23:46" s="99" customFormat="1" x14ac:dyDescent="0.25">
      <c r="W303" s="160"/>
      <c r="X303" s="160"/>
      <c r="Y303" s="167"/>
      <c r="Z303" s="167"/>
      <c r="AA303" s="167"/>
      <c r="AB303" s="167"/>
      <c r="AC303" s="167"/>
      <c r="AD303" s="167"/>
      <c r="AE303" s="167"/>
      <c r="AF303" s="167"/>
      <c r="AG303" s="167"/>
      <c r="AH303" s="167"/>
      <c r="AI303" s="167"/>
      <c r="AJ303" s="167"/>
      <c r="AK303" s="167"/>
      <c r="AL303" s="167"/>
      <c r="AM303" s="167"/>
      <c r="AN303" s="167"/>
      <c r="AO303" s="167"/>
      <c r="AP303" s="160"/>
      <c r="AQ303" s="160"/>
      <c r="AR303" s="160"/>
      <c r="AS303" s="160"/>
      <c r="AT303" s="160"/>
    </row>
    <row r="304" spans="23:46" s="99" customFormat="1" x14ac:dyDescent="0.25">
      <c r="W304" s="160"/>
      <c r="X304" s="160"/>
      <c r="Y304" s="167"/>
      <c r="Z304" s="167"/>
      <c r="AA304" s="167"/>
      <c r="AB304" s="167"/>
      <c r="AC304" s="167"/>
      <c r="AD304" s="167"/>
      <c r="AE304" s="167"/>
      <c r="AF304" s="167"/>
      <c r="AG304" s="167"/>
      <c r="AH304" s="167"/>
      <c r="AI304" s="167"/>
      <c r="AJ304" s="167"/>
      <c r="AK304" s="167"/>
      <c r="AL304" s="167"/>
      <c r="AM304" s="167"/>
      <c r="AN304" s="167"/>
      <c r="AO304" s="167"/>
      <c r="AP304" s="160"/>
      <c r="AQ304" s="160"/>
      <c r="AR304" s="160"/>
      <c r="AS304" s="160"/>
      <c r="AT304" s="160"/>
    </row>
    <row r="305" spans="23:46" s="99" customFormat="1" x14ac:dyDescent="0.25">
      <c r="W305" s="160"/>
      <c r="X305" s="160"/>
      <c r="Y305" s="167"/>
      <c r="Z305" s="167"/>
      <c r="AA305" s="167"/>
      <c r="AB305" s="167"/>
      <c r="AC305" s="167"/>
      <c r="AD305" s="167"/>
      <c r="AE305" s="167"/>
      <c r="AF305" s="167"/>
      <c r="AG305" s="167"/>
      <c r="AH305" s="167"/>
      <c r="AI305" s="167"/>
      <c r="AJ305" s="167"/>
      <c r="AK305" s="167"/>
      <c r="AL305" s="167"/>
      <c r="AM305" s="167"/>
      <c r="AN305" s="167"/>
      <c r="AO305" s="167"/>
      <c r="AP305" s="160"/>
      <c r="AQ305" s="160"/>
      <c r="AR305" s="160"/>
      <c r="AS305" s="160"/>
      <c r="AT305" s="160"/>
    </row>
    <row r="306" spans="23:46" s="99" customFormat="1" x14ac:dyDescent="0.25">
      <c r="W306" s="160"/>
      <c r="X306" s="160"/>
      <c r="Y306" s="167"/>
      <c r="Z306" s="167"/>
      <c r="AA306" s="167"/>
      <c r="AB306" s="167"/>
      <c r="AC306" s="167"/>
      <c r="AD306" s="167"/>
      <c r="AE306" s="167"/>
      <c r="AF306" s="167"/>
      <c r="AG306" s="167"/>
      <c r="AH306" s="167"/>
      <c r="AI306" s="167"/>
      <c r="AJ306" s="167"/>
      <c r="AK306" s="167"/>
      <c r="AL306" s="167"/>
      <c r="AM306" s="167"/>
      <c r="AN306" s="167"/>
      <c r="AO306" s="167"/>
      <c r="AP306" s="160"/>
      <c r="AQ306" s="160"/>
      <c r="AR306" s="160"/>
      <c r="AS306" s="160"/>
      <c r="AT306" s="160"/>
    </row>
    <row r="307" spans="23:46" s="99" customFormat="1" x14ac:dyDescent="0.25">
      <c r="W307" s="160"/>
      <c r="X307" s="160"/>
      <c r="Y307" s="167"/>
      <c r="Z307" s="167"/>
      <c r="AA307" s="167"/>
      <c r="AB307" s="167"/>
      <c r="AC307" s="167"/>
      <c r="AD307" s="167"/>
      <c r="AE307" s="167"/>
      <c r="AF307" s="167"/>
      <c r="AG307" s="167"/>
      <c r="AH307" s="167"/>
      <c r="AI307" s="167"/>
      <c r="AJ307" s="167"/>
      <c r="AK307" s="167"/>
      <c r="AL307" s="167"/>
      <c r="AM307" s="167"/>
      <c r="AN307" s="167"/>
      <c r="AO307" s="167"/>
      <c r="AP307" s="160"/>
      <c r="AQ307" s="160"/>
      <c r="AR307" s="160"/>
      <c r="AS307" s="160"/>
      <c r="AT307" s="160"/>
    </row>
    <row r="308" spans="23:46" s="99" customFormat="1" x14ac:dyDescent="0.25">
      <c r="W308" s="160"/>
      <c r="X308" s="160"/>
      <c r="Y308" s="167"/>
      <c r="Z308" s="167"/>
      <c r="AA308" s="167"/>
      <c r="AB308" s="167"/>
      <c r="AC308" s="167"/>
      <c r="AD308" s="167"/>
      <c r="AE308" s="167"/>
      <c r="AF308" s="167"/>
      <c r="AG308" s="167"/>
      <c r="AH308" s="167"/>
      <c r="AI308" s="167"/>
      <c r="AJ308" s="167"/>
      <c r="AK308" s="167"/>
      <c r="AL308" s="167"/>
      <c r="AM308" s="167"/>
      <c r="AN308" s="167"/>
      <c r="AO308" s="167"/>
      <c r="AP308" s="160"/>
      <c r="AQ308" s="160"/>
      <c r="AR308" s="160"/>
      <c r="AS308" s="160"/>
      <c r="AT308" s="160"/>
    </row>
    <row r="309" spans="23:46" s="99" customFormat="1" x14ac:dyDescent="0.25">
      <c r="W309" s="160"/>
      <c r="X309" s="160"/>
      <c r="Y309" s="167"/>
      <c r="Z309" s="167"/>
      <c r="AA309" s="167"/>
      <c r="AB309" s="167"/>
      <c r="AC309" s="167"/>
      <c r="AD309" s="167"/>
      <c r="AE309" s="167"/>
      <c r="AF309" s="167"/>
      <c r="AG309" s="167"/>
      <c r="AH309" s="167"/>
      <c r="AI309" s="167"/>
      <c r="AJ309" s="167"/>
      <c r="AK309" s="167"/>
      <c r="AL309" s="167"/>
      <c r="AM309" s="167"/>
      <c r="AN309" s="167"/>
      <c r="AO309" s="167"/>
      <c r="AP309" s="160"/>
      <c r="AQ309" s="160"/>
      <c r="AR309" s="160"/>
      <c r="AS309" s="160"/>
      <c r="AT309" s="160"/>
    </row>
    <row r="310" spans="23:46" s="99" customFormat="1" x14ac:dyDescent="0.25">
      <c r="W310" s="160"/>
      <c r="X310" s="160"/>
      <c r="Y310" s="167"/>
      <c r="Z310" s="167"/>
      <c r="AA310" s="167"/>
      <c r="AB310" s="167"/>
      <c r="AC310" s="167"/>
      <c r="AD310" s="167"/>
      <c r="AE310" s="167"/>
      <c r="AF310" s="167"/>
      <c r="AG310" s="167"/>
      <c r="AH310" s="167"/>
      <c r="AI310" s="167"/>
      <c r="AJ310" s="167"/>
      <c r="AK310" s="167"/>
      <c r="AL310" s="167"/>
      <c r="AM310" s="167"/>
      <c r="AN310" s="167"/>
      <c r="AO310" s="167"/>
      <c r="AP310" s="160"/>
      <c r="AQ310" s="160"/>
      <c r="AR310" s="160"/>
      <c r="AS310" s="160"/>
      <c r="AT310" s="160"/>
    </row>
    <row r="311" spans="23:46" s="99" customFormat="1" x14ac:dyDescent="0.25">
      <c r="W311" s="160"/>
      <c r="X311" s="160"/>
      <c r="Y311" s="167"/>
      <c r="Z311" s="167"/>
      <c r="AA311" s="167"/>
      <c r="AB311" s="167"/>
      <c r="AC311" s="167"/>
      <c r="AD311" s="167"/>
      <c r="AE311" s="167"/>
      <c r="AF311" s="167"/>
      <c r="AG311" s="167"/>
      <c r="AH311" s="167"/>
      <c r="AI311" s="167"/>
      <c r="AJ311" s="167"/>
      <c r="AK311" s="167"/>
      <c r="AL311" s="167"/>
      <c r="AM311" s="167"/>
      <c r="AN311" s="167"/>
      <c r="AO311" s="167"/>
      <c r="AP311" s="160"/>
      <c r="AQ311" s="160"/>
      <c r="AR311" s="160"/>
      <c r="AS311" s="160"/>
      <c r="AT311" s="160"/>
    </row>
    <row r="312" spans="23:46" s="99" customFormat="1" x14ac:dyDescent="0.25">
      <c r="W312" s="160"/>
      <c r="X312" s="160"/>
      <c r="Y312" s="167"/>
      <c r="Z312" s="167"/>
      <c r="AA312" s="167"/>
      <c r="AB312" s="167"/>
      <c r="AC312" s="167"/>
      <c r="AD312" s="167"/>
      <c r="AE312" s="167"/>
      <c r="AF312" s="167"/>
      <c r="AG312" s="167"/>
      <c r="AH312" s="167"/>
      <c r="AI312" s="167"/>
      <c r="AJ312" s="167"/>
      <c r="AK312" s="167"/>
      <c r="AL312" s="167"/>
      <c r="AM312" s="167"/>
      <c r="AN312" s="167"/>
      <c r="AO312" s="167"/>
      <c r="AP312" s="160"/>
      <c r="AQ312" s="160"/>
      <c r="AR312" s="160"/>
      <c r="AS312" s="160"/>
      <c r="AT312" s="160"/>
    </row>
    <row r="313" spans="23:46" s="99" customFormat="1" x14ac:dyDescent="0.25">
      <c r="W313" s="160"/>
      <c r="X313" s="160"/>
      <c r="Y313" s="167"/>
      <c r="Z313" s="167"/>
      <c r="AA313" s="167"/>
      <c r="AB313" s="167"/>
      <c r="AC313" s="167"/>
      <c r="AD313" s="167"/>
      <c r="AE313" s="167"/>
      <c r="AF313" s="167"/>
      <c r="AG313" s="167"/>
      <c r="AH313" s="167"/>
      <c r="AI313" s="167"/>
      <c r="AJ313" s="167"/>
      <c r="AK313" s="167"/>
      <c r="AL313" s="167"/>
      <c r="AM313" s="167"/>
      <c r="AN313" s="167"/>
      <c r="AO313" s="167"/>
      <c r="AP313" s="160"/>
      <c r="AQ313" s="160"/>
      <c r="AR313" s="160"/>
      <c r="AS313" s="160"/>
      <c r="AT313" s="160"/>
    </row>
    <row r="314" spans="23:46" s="99" customFormat="1" x14ac:dyDescent="0.25">
      <c r="W314" s="160"/>
      <c r="X314" s="160"/>
      <c r="Y314" s="167"/>
      <c r="Z314" s="167"/>
      <c r="AA314" s="167"/>
      <c r="AB314" s="167"/>
      <c r="AC314" s="167"/>
      <c r="AD314" s="167"/>
      <c r="AE314" s="167"/>
      <c r="AF314" s="167"/>
      <c r="AG314" s="167"/>
      <c r="AH314" s="167"/>
      <c r="AI314" s="167"/>
      <c r="AJ314" s="167"/>
      <c r="AK314" s="167"/>
      <c r="AL314" s="167"/>
      <c r="AM314" s="167"/>
      <c r="AN314" s="167"/>
      <c r="AO314" s="167"/>
      <c r="AP314" s="160"/>
      <c r="AQ314" s="160"/>
      <c r="AR314" s="160"/>
      <c r="AS314" s="160"/>
      <c r="AT314" s="160"/>
    </row>
    <row r="315" spans="23:46" s="99" customFormat="1" x14ac:dyDescent="0.25">
      <c r="W315" s="160"/>
      <c r="X315" s="160"/>
      <c r="Y315" s="167"/>
      <c r="Z315" s="167"/>
      <c r="AA315" s="167"/>
      <c r="AB315" s="167"/>
      <c r="AC315" s="167"/>
      <c r="AD315" s="167"/>
      <c r="AE315" s="167"/>
      <c r="AF315" s="167"/>
      <c r="AG315" s="167"/>
      <c r="AH315" s="167"/>
      <c r="AI315" s="167"/>
      <c r="AJ315" s="167"/>
      <c r="AK315" s="167"/>
      <c r="AL315" s="167"/>
      <c r="AM315" s="167"/>
      <c r="AN315" s="167"/>
      <c r="AO315" s="167"/>
      <c r="AP315" s="160"/>
      <c r="AQ315" s="160"/>
      <c r="AR315" s="160"/>
      <c r="AS315" s="160"/>
      <c r="AT315" s="160"/>
    </row>
    <row r="316" spans="23:46" s="99" customFormat="1" x14ac:dyDescent="0.25">
      <c r="W316" s="160"/>
      <c r="X316" s="160"/>
      <c r="Y316" s="167"/>
      <c r="Z316" s="167"/>
      <c r="AA316" s="167"/>
      <c r="AB316" s="167"/>
      <c r="AC316" s="167"/>
      <c r="AD316" s="167"/>
      <c r="AE316" s="167"/>
      <c r="AF316" s="167"/>
      <c r="AG316" s="167"/>
      <c r="AH316" s="167"/>
      <c r="AI316" s="167"/>
      <c r="AJ316" s="167"/>
      <c r="AK316" s="167"/>
      <c r="AL316" s="167"/>
      <c r="AM316" s="167"/>
      <c r="AN316" s="167"/>
      <c r="AO316" s="167"/>
      <c r="AP316" s="160"/>
      <c r="AQ316" s="160"/>
      <c r="AR316" s="160"/>
      <c r="AS316" s="160"/>
      <c r="AT316" s="160"/>
    </row>
    <row r="317" spans="23:46" s="99" customFormat="1" x14ac:dyDescent="0.25">
      <c r="W317" s="160"/>
      <c r="X317" s="160"/>
      <c r="Y317" s="167"/>
      <c r="Z317" s="167"/>
      <c r="AA317" s="167"/>
      <c r="AB317" s="167"/>
      <c r="AC317" s="167"/>
      <c r="AD317" s="167"/>
      <c r="AE317" s="167"/>
      <c r="AF317" s="167"/>
      <c r="AG317" s="167"/>
      <c r="AH317" s="167"/>
      <c r="AI317" s="167"/>
      <c r="AJ317" s="167"/>
      <c r="AK317" s="167"/>
      <c r="AL317" s="167"/>
      <c r="AM317" s="167"/>
      <c r="AN317" s="167"/>
      <c r="AO317" s="167"/>
      <c r="AP317" s="160"/>
      <c r="AQ317" s="160"/>
      <c r="AR317" s="160"/>
      <c r="AS317" s="160"/>
      <c r="AT317" s="160"/>
    </row>
    <row r="318" spans="23:46" s="99" customFormat="1" x14ac:dyDescent="0.25">
      <c r="W318" s="160"/>
      <c r="X318" s="160"/>
      <c r="Y318" s="167"/>
      <c r="Z318" s="167"/>
      <c r="AA318" s="167"/>
      <c r="AB318" s="167"/>
      <c r="AC318" s="167"/>
      <c r="AD318" s="167"/>
      <c r="AE318" s="167"/>
      <c r="AF318" s="167"/>
      <c r="AG318" s="167"/>
      <c r="AH318" s="167"/>
      <c r="AI318" s="167"/>
      <c r="AJ318" s="167"/>
      <c r="AK318" s="167"/>
      <c r="AL318" s="167"/>
      <c r="AM318" s="167"/>
      <c r="AN318" s="167"/>
      <c r="AO318" s="167"/>
      <c r="AP318" s="160"/>
      <c r="AQ318" s="160"/>
      <c r="AR318" s="160"/>
      <c r="AS318" s="160"/>
      <c r="AT318" s="160"/>
    </row>
    <row r="319" spans="23:46" s="99" customFormat="1" x14ac:dyDescent="0.25">
      <c r="W319" s="160"/>
      <c r="X319" s="160"/>
      <c r="Y319" s="167"/>
      <c r="Z319" s="167"/>
      <c r="AA319" s="167"/>
      <c r="AB319" s="167"/>
      <c r="AC319" s="167"/>
      <c r="AD319" s="167"/>
      <c r="AE319" s="167"/>
      <c r="AF319" s="167"/>
      <c r="AG319" s="167"/>
      <c r="AH319" s="167"/>
      <c r="AI319" s="167"/>
      <c r="AJ319" s="167"/>
      <c r="AK319" s="167"/>
      <c r="AL319" s="167"/>
      <c r="AM319" s="167"/>
      <c r="AN319" s="167"/>
      <c r="AO319" s="167"/>
      <c r="AP319" s="160"/>
      <c r="AQ319" s="160"/>
      <c r="AR319" s="160"/>
      <c r="AS319" s="160"/>
      <c r="AT319" s="160"/>
    </row>
    <row r="320" spans="23:46" s="99" customFormat="1" x14ac:dyDescent="0.25">
      <c r="W320" s="160"/>
      <c r="X320" s="160"/>
      <c r="Y320" s="167"/>
      <c r="Z320" s="167"/>
      <c r="AA320" s="167"/>
      <c r="AB320" s="167"/>
      <c r="AC320" s="167"/>
      <c r="AD320" s="167"/>
      <c r="AE320" s="167"/>
      <c r="AF320" s="167"/>
      <c r="AG320" s="167"/>
      <c r="AH320" s="167"/>
      <c r="AI320" s="167"/>
      <c r="AJ320" s="167"/>
      <c r="AK320" s="167"/>
      <c r="AL320" s="167"/>
      <c r="AM320" s="167"/>
      <c r="AN320" s="167"/>
      <c r="AO320" s="167"/>
      <c r="AP320" s="160"/>
      <c r="AQ320" s="160"/>
      <c r="AR320" s="160"/>
      <c r="AS320" s="160"/>
      <c r="AT320" s="160"/>
    </row>
    <row r="321" spans="23:46" s="99" customFormat="1" x14ac:dyDescent="0.25">
      <c r="W321" s="160"/>
      <c r="X321" s="160"/>
      <c r="Y321" s="167"/>
      <c r="Z321" s="167"/>
      <c r="AA321" s="167"/>
      <c r="AB321" s="167"/>
      <c r="AC321" s="167"/>
      <c r="AD321" s="167"/>
      <c r="AE321" s="167"/>
      <c r="AF321" s="167"/>
      <c r="AG321" s="167"/>
      <c r="AH321" s="167"/>
      <c r="AI321" s="167"/>
      <c r="AJ321" s="167"/>
      <c r="AK321" s="167"/>
      <c r="AL321" s="167"/>
      <c r="AM321" s="167"/>
      <c r="AN321" s="167"/>
      <c r="AO321" s="167"/>
      <c r="AP321" s="160"/>
      <c r="AQ321" s="160"/>
      <c r="AR321" s="160"/>
      <c r="AS321" s="160"/>
      <c r="AT321" s="160"/>
    </row>
    <row r="322" spans="23:46" s="99" customFormat="1" x14ac:dyDescent="0.25">
      <c r="W322" s="160"/>
      <c r="X322" s="160"/>
      <c r="Y322" s="167"/>
      <c r="Z322" s="167"/>
      <c r="AA322" s="167"/>
      <c r="AB322" s="167"/>
      <c r="AC322" s="167"/>
      <c r="AD322" s="167"/>
      <c r="AE322" s="167"/>
      <c r="AF322" s="167"/>
      <c r="AG322" s="167"/>
      <c r="AH322" s="167"/>
      <c r="AI322" s="167"/>
      <c r="AJ322" s="167"/>
      <c r="AK322" s="167"/>
      <c r="AL322" s="167"/>
      <c r="AM322" s="167"/>
      <c r="AN322" s="167"/>
      <c r="AO322" s="167"/>
      <c r="AP322" s="160"/>
      <c r="AQ322" s="160"/>
      <c r="AR322" s="160"/>
      <c r="AS322" s="160"/>
      <c r="AT322" s="160"/>
    </row>
    <row r="323" spans="23:46" s="99" customFormat="1" x14ac:dyDescent="0.25">
      <c r="W323" s="160"/>
      <c r="X323" s="160"/>
      <c r="Y323" s="167"/>
      <c r="Z323" s="167"/>
      <c r="AA323" s="167"/>
      <c r="AB323" s="167"/>
      <c r="AC323" s="167"/>
      <c r="AD323" s="167"/>
      <c r="AE323" s="167"/>
      <c r="AF323" s="167"/>
      <c r="AG323" s="167"/>
      <c r="AH323" s="167"/>
      <c r="AI323" s="167"/>
      <c r="AJ323" s="167"/>
      <c r="AK323" s="167"/>
      <c r="AL323" s="167"/>
      <c r="AM323" s="167"/>
      <c r="AN323" s="167"/>
      <c r="AO323" s="167"/>
      <c r="AP323" s="160"/>
      <c r="AQ323" s="160"/>
      <c r="AR323" s="160"/>
      <c r="AS323" s="160"/>
      <c r="AT323" s="160"/>
    </row>
    <row r="324" spans="23:46" s="99" customFormat="1" x14ac:dyDescent="0.25">
      <c r="W324" s="160"/>
      <c r="X324" s="160"/>
      <c r="Y324" s="167"/>
      <c r="Z324" s="167"/>
      <c r="AA324" s="167"/>
      <c r="AB324" s="167"/>
      <c r="AC324" s="167"/>
      <c r="AD324" s="167"/>
      <c r="AE324" s="167"/>
      <c r="AF324" s="167"/>
      <c r="AG324" s="167"/>
      <c r="AH324" s="167"/>
      <c r="AI324" s="167"/>
      <c r="AJ324" s="167"/>
      <c r="AK324" s="167"/>
      <c r="AL324" s="167"/>
      <c r="AM324" s="167"/>
      <c r="AN324" s="167"/>
      <c r="AO324" s="167"/>
      <c r="AP324" s="160"/>
      <c r="AQ324" s="160"/>
      <c r="AR324" s="160"/>
      <c r="AS324" s="160"/>
      <c r="AT324" s="160"/>
    </row>
    <row r="325" spans="23:46" s="99" customFormat="1" x14ac:dyDescent="0.25">
      <c r="W325" s="160"/>
      <c r="X325" s="160"/>
      <c r="Y325" s="167"/>
      <c r="Z325" s="167"/>
      <c r="AA325" s="167"/>
      <c r="AB325" s="167"/>
      <c r="AC325" s="167"/>
      <c r="AD325" s="167"/>
      <c r="AE325" s="167"/>
      <c r="AF325" s="167"/>
      <c r="AG325" s="167"/>
      <c r="AH325" s="167"/>
      <c r="AI325" s="167"/>
      <c r="AJ325" s="167"/>
      <c r="AK325" s="167"/>
      <c r="AL325" s="167"/>
      <c r="AM325" s="167"/>
      <c r="AN325" s="167"/>
      <c r="AO325" s="167"/>
      <c r="AP325" s="160"/>
      <c r="AQ325" s="160"/>
      <c r="AR325" s="160"/>
      <c r="AS325" s="160"/>
      <c r="AT325" s="160"/>
    </row>
    <row r="326" spans="23:46" s="99" customFormat="1" x14ac:dyDescent="0.25">
      <c r="W326" s="160"/>
      <c r="X326" s="160"/>
      <c r="Y326" s="167"/>
      <c r="Z326" s="167"/>
      <c r="AA326" s="167"/>
      <c r="AB326" s="167"/>
      <c r="AC326" s="167"/>
      <c r="AD326" s="167"/>
      <c r="AE326" s="167"/>
      <c r="AF326" s="167"/>
      <c r="AG326" s="167"/>
      <c r="AH326" s="167"/>
      <c r="AI326" s="167"/>
      <c r="AJ326" s="167"/>
      <c r="AK326" s="167"/>
      <c r="AL326" s="167"/>
      <c r="AM326" s="167"/>
      <c r="AN326" s="167"/>
      <c r="AO326" s="167"/>
      <c r="AP326" s="160"/>
      <c r="AQ326" s="160"/>
      <c r="AR326" s="160"/>
      <c r="AS326" s="160"/>
      <c r="AT326" s="160"/>
    </row>
    <row r="327" spans="23:46" s="99" customFormat="1" x14ac:dyDescent="0.25">
      <c r="W327" s="160"/>
      <c r="X327" s="160"/>
      <c r="Y327" s="167"/>
      <c r="Z327" s="167"/>
      <c r="AA327" s="167"/>
      <c r="AB327" s="167"/>
      <c r="AC327" s="167"/>
      <c r="AD327" s="167"/>
      <c r="AE327" s="167"/>
      <c r="AF327" s="167"/>
      <c r="AG327" s="167"/>
      <c r="AH327" s="167"/>
      <c r="AI327" s="167"/>
      <c r="AJ327" s="167"/>
      <c r="AK327" s="167"/>
      <c r="AL327" s="167"/>
      <c r="AM327" s="167"/>
      <c r="AN327" s="167"/>
      <c r="AO327" s="167"/>
      <c r="AP327" s="160"/>
      <c r="AQ327" s="160"/>
      <c r="AR327" s="160"/>
      <c r="AS327" s="160"/>
      <c r="AT327" s="160"/>
    </row>
    <row r="328" spans="23:46" s="99" customFormat="1" x14ac:dyDescent="0.25">
      <c r="W328" s="160"/>
      <c r="X328" s="160"/>
      <c r="Y328" s="167"/>
      <c r="Z328" s="167"/>
      <c r="AA328" s="167"/>
      <c r="AB328" s="167"/>
      <c r="AC328" s="167"/>
      <c r="AD328" s="167"/>
      <c r="AE328" s="167"/>
      <c r="AF328" s="167"/>
      <c r="AG328" s="167"/>
      <c r="AH328" s="167"/>
      <c r="AI328" s="167"/>
      <c r="AJ328" s="167"/>
      <c r="AK328" s="167"/>
      <c r="AL328" s="167"/>
      <c r="AM328" s="167"/>
      <c r="AN328" s="167"/>
      <c r="AO328" s="167"/>
      <c r="AP328" s="160"/>
      <c r="AQ328" s="160"/>
      <c r="AR328" s="160"/>
      <c r="AS328" s="160"/>
      <c r="AT328" s="160"/>
    </row>
    <row r="329" spans="23:46" s="99" customFormat="1" x14ac:dyDescent="0.25">
      <c r="W329" s="160"/>
      <c r="X329" s="160"/>
      <c r="Y329" s="167"/>
      <c r="Z329" s="167"/>
      <c r="AA329" s="167"/>
      <c r="AB329" s="167"/>
      <c r="AC329" s="167"/>
      <c r="AD329" s="167"/>
      <c r="AE329" s="167"/>
      <c r="AF329" s="167"/>
      <c r="AG329" s="167"/>
      <c r="AH329" s="167"/>
      <c r="AI329" s="167"/>
      <c r="AJ329" s="167"/>
      <c r="AK329" s="167"/>
      <c r="AL329" s="167"/>
      <c r="AM329" s="167"/>
      <c r="AN329" s="167"/>
      <c r="AO329" s="167"/>
      <c r="AP329" s="160"/>
      <c r="AQ329" s="160"/>
      <c r="AR329" s="160"/>
      <c r="AS329" s="160"/>
      <c r="AT329" s="160"/>
    </row>
    <row r="330" spans="23:46" s="99" customFormat="1" x14ac:dyDescent="0.25">
      <c r="W330" s="160"/>
      <c r="X330" s="160"/>
      <c r="Y330" s="167"/>
      <c r="Z330" s="167"/>
      <c r="AA330" s="167"/>
      <c r="AB330" s="167"/>
      <c r="AC330" s="167"/>
      <c r="AD330" s="167"/>
      <c r="AE330" s="167"/>
      <c r="AF330" s="167"/>
      <c r="AG330" s="167"/>
      <c r="AH330" s="167"/>
      <c r="AI330" s="167"/>
      <c r="AJ330" s="167"/>
      <c r="AK330" s="167"/>
      <c r="AL330" s="167"/>
      <c r="AM330" s="167"/>
      <c r="AN330" s="167"/>
      <c r="AO330" s="167"/>
      <c r="AP330" s="160"/>
      <c r="AQ330" s="160"/>
      <c r="AR330" s="160"/>
      <c r="AS330" s="160"/>
      <c r="AT330" s="160"/>
    </row>
    <row r="331" spans="23:46" s="99" customFormat="1" x14ac:dyDescent="0.25">
      <c r="W331" s="160"/>
      <c r="X331" s="160"/>
      <c r="Y331" s="167"/>
      <c r="Z331" s="167"/>
      <c r="AA331" s="167"/>
      <c r="AB331" s="167"/>
      <c r="AC331" s="167"/>
      <c r="AD331" s="167"/>
      <c r="AE331" s="167"/>
      <c r="AF331" s="167"/>
      <c r="AG331" s="167"/>
      <c r="AH331" s="167"/>
      <c r="AI331" s="167"/>
      <c r="AJ331" s="167"/>
      <c r="AK331" s="167"/>
      <c r="AL331" s="167"/>
      <c r="AM331" s="167"/>
      <c r="AN331" s="167"/>
      <c r="AO331" s="167"/>
      <c r="AP331" s="160"/>
      <c r="AQ331" s="160"/>
      <c r="AR331" s="160"/>
      <c r="AS331" s="160"/>
      <c r="AT331" s="160"/>
    </row>
    <row r="332" spans="23:46" s="99" customFormat="1" x14ac:dyDescent="0.25">
      <c r="W332" s="160"/>
      <c r="X332" s="160"/>
      <c r="Y332" s="167"/>
      <c r="Z332" s="167"/>
      <c r="AA332" s="167"/>
      <c r="AB332" s="167"/>
      <c r="AC332" s="167"/>
      <c r="AD332" s="167"/>
      <c r="AE332" s="167"/>
      <c r="AF332" s="167"/>
      <c r="AG332" s="167"/>
      <c r="AH332" s="167"/>
      <c r="AI332" s="167"/>
      <c r="AJ332" s="167"/>
      <c r="AK332" s="167"/>
      <c r="AL332" s="167"/>
      <c r="AM332" s="167"/>
      <c r="AN332" s="167"/>
      <c r="AO332" s="167"/>
      <c r="AP332" s="160"/>
      <c r="AQ332" s="160"/>
      <c r="AR332" s="160"/>
      <c r="AS332" s="160"/>
      <c r="AT332" s="160"/>
    </row>
    <row r="333" spans="23:46" s="99" customFormat="1" x14ac:dyDescent="0.25">
      <c r="W333" s="160"/>
      <c r="X333" s="160"/>
      <c r="Y333" s="167"/>
      <c r="Z333" s="167"/>
      <c r="AA333" s="167"/>
      <c r="AB333" s="167"/>
      <c r="AC333" s="167"/>
      <c r="AD333" s="167"/>
      <c r="AE333" s="167"/>
      <c r="AF333" s="167"/>
      <c r="AG333" s="167"/>
      <c r="AH333" s="167"/>
      <c r="AI333" s="167"/>
      <c r="AJ333" s="167"/>
      <c r="AK333" s="167"/>
      <c r="AL333" s="167"/>
      <c r="AM333" s="167"/>
      <c r="AN333" s="167"/>
      <c r="AO333" s="167"/>
      <c r="AP333" s="160"/>
      <c r="AQ333" s="160"/>
      <c r="AR333" s="160"/>
      <c r="AS333" s="160"/>
      <c r="AT333" s="160"/>
    </row>
    <row r="334" spans="23:46" s="99" customFormat="1" x14ac:dyDescent="0.25">
      <c r="W334" s="160"/>
      <c r="X334" s="160"/>
      <c r="Y334" s="167"/>
      <c r="Z334" s="167"/>
      <c r="AA334" s="167"/>
      <c r="AB334" s="167"/>
      <c r="AC334" s="167"/>
      <c r="AD334" s="167"/>
      <c r="AE334" s="167"/>
      <c r="AF334" s="167"/>
      <c r="AG334" s="167"/>
      <c r="AH334" s="167"/>
      <c r="AI334" s="167"/>
      <c r="AJ334" s="167"/>
      <c r="AK334" s="167"/>
      <c r="AL334" s="167"/>
      <c r="AM334" s="167"/>
      <c r="AN334" s="167"/>
      <c r="AO334" s="167"/>
      <c r="AP334" s="160"/>
      <c r="AQ334" s="160"/>
      <c r="AR334" s="160"/>
      <c r="AS334" s="160"/>
      <c r="AT334" s="160"/>
    </row>
    <row r="335" spans="23:46" s="99" customFormat="1" x14ac:dyDescent="0.25">
      <c r="W335" s="160"/>
      <c r="X335" s="160"/>
      <c r="Y335" s="167"/>
      <c r="Z335" s="167"/>
      <c r="AA335" s="167"/>
      <c r="AB335" s="167"/>
      <c r="AC335" s="167"/>
      <c r="AD335" s="167"/>
      <c r="AE335" s="167"/>
      <c r="AF335" s="167"/>
      <c r="AG335" s="167"/>
      <c r="AH335" s="167"/>
      <c r="AI335" s="167"/>
      <c r="AJ335" s="167"/>
      <c r="AK335" s="167"/>
      <c r="AL335" s="167"/>
      <c r="AM335" s="167"/>
      <c r="AN335" s="167"/>
      <c r="AO335" s="167"/>
      <c r="AP335" s="160"/>
      <c r="AQ335" s="160"/>
      <c r="AR335" s="160"/>
      <c r="AS335" s="160"/>
      <c r="AT335" s="160"/>
    </row>
    <row r="336" spans="23:46" s="99" customFormat="1" x14ac:dyDescent="0.25">
      <c r="W336" s="160"/>
      <c r="X336" s="160"/>
      <c r="Y336" s="167"/>
      <c r="Z336" s="167"/>
      <c r="AA336" s="167"/>
      <c r="AB336" s="167"/>
      <c r="AC336" s="167"/>
      <c r="AD336" s="167"/>
      <c r="AE336" s="167"/>
      <c r="AF336" s="167"/>
      <c r="AG336" s="167"/>
      <c r="AH336" s="167"/>
      <c r="AI336" s="167"/>
      <c r="AJ336" s="167"/>
      <c r="AK336" s="167"/>
      <c r="AL336" s="167"/>
      <c r="AM336" s="167"/>
      <c r="AN336" s="167"/>
      <c r="AO336" s="167"/>
      <c r="AP336" s="160"/>
      <c r="AQ336" s="160"/>
      <c r="AR336" s="160"/>
      <c r="AS336" s="160"/>
      <c r="AT336" s="160"/>
    </row>
    <row r="337" spans="23:46" s="99" customFormat="1" x14ac:dyDescent="0.25">
      <c r="W337" s="160"/>
      <c r="X337" s="160"/>
      <c r="Y337" s="167"/>
      <c r="Z337" s="167"/>
      <c r="AA337" s="167"/>
      <c r="AB337" s="167"/>
      <c r="AC337" s="167"/>
      <c r="AD337" s="167"/>
      <c r="AE337" s="167"/>
      <c r="AF337" s="167"/>
      <c r="AG337" s="167"/>
      <c r="AH337" s="167"/>
      <c r="AI337" s="167"/>
      <c r="AJ337" s="167"/>
      <c r="AK337" s="167"/>
      <c r="AL337" s="167"/>
      <c r="AM337" s="167"/>
      <c r="AN337" s="167"/>
      <c r="AO337" s="167"/>
      <c r="AP337" s="160"/>
      <c r="AQ337" s="160"/>
      <c r="AR337" s="160"/>
      <c r="AS337" s="160"/>
      <c r="AT337" s="160"/>
    </row>
    <row r="338" spans="23:46" s="99" customFormat="1" x14ac:dyDescent="0.25">
      <c r="W338" s="160"/>
      <c r="X338" s="160"/>
      <c r="Y338" s="167"/>
      <c r="Z338" s="167"/>
      <c r="AA338" s="167"/>
      <c r="AB338" s="167"/>
      <c r="AC338" s="167"/>
      <c r="AD338" s="167"/>
      <c r="AE338" s="167"/>
      <c r="AF338" s="167"/>
      <c r="AG338" s="167"/>
      <c r="AH338" s="167"/>
      <c r="AI338" s="167"/>
      <c r="AJ338" s="167"/>
      <c r="AK338" s="167"/>
      <c r="AL338" s="167"/>
      <c r="AM338" s="167"/>
      <c r="AN338" s="167"/>
      <c r="AO338" s="167"/>
      <c r="AP338" s="160"/>
      <c r="AQ338" s="160"/>
      <c r="AR338" s="160"/>
      <c r="AS338" s="160"/>
      <c r="AT338" s="160"/>
    </row>
    <row r="339" spans="23:46" s="99" customFormat="1" x14ac:dyDescent="0.25">
      <c r="W339" s="160"/>
      <c r="X339" s="160"/>
      <c r="Y339" s="167"/>
      <c r="Z339" s="167"/>
      <c r="AA339" s="167"/>
      <c r="AB339" s="167"/>
      <c r="AC339" s="167"/>
      <c r="AD339" s="167"/>
      <c r="AE339" s="167"/>
      <c r="AF339" s="167"/>
      <c r="AG339" s="167"/>
      <c r="AH339" s="167"/>
      <c r="AI339" s="167"/>
      <c r="AJ339" s="167"/>
      <c r="AK339" s="167"/>
      <c r="AL339" s="167"/>
      <c r="AM339" s="167"/>
      <c r="AN339" s="167"/>
      <c r="AO339" s="167"/>
      <c r="AP339" s="160"/>
      <c r="AQ339" s="160"/>
      <c r="AR339" s="160"/>
      <c r="AS339" s="160"/>
      <c r="AT339" s="160"/>
    </row>
    <row r="340" spans="23:46" s="99" customFormat="1" x14ac:dyDescent="0.25">
      <c r="W340" s="160"/>
      <c r="X340" s="160"/>
      <c r="Y340" s="167"/>
      <c r="Z340" s="167"/>
      <c r="AA340" s="167"/>
      <c r="AB340" s="167"/>
      <c r="AC340" s="167"/>
      <c r="AD340" s="167"/>
      <c r="AE340" s="167"/>
      <c r="AF340" s="167"/>
      <c r="AG340" s="167"/>
      <c r="AH340" s="167"/>
      <c r="AI340" s="167"/>
      <c r="AJ340" s="167"/>
      <c r="AK340" s="167"/>
      <c r="AL340" s="167"/>
      <c r="AM340" s="167"/>
      <c r="AN340" s="167"/>
      <c r="AO340" s="167"/>
      <c r="AP340" s="160"/>
      <c r="AQ340" s="160"/>
      <c r="AR340" s="160"/>
      <c r="AS340" s="160"/>
      <c r="AT340" s="160"/>
    </row>
    <row r="341" spans="23:46" s="99" customFormat="1" x14ac:dyDescent="0.25">
      <c r="W341" s="160"/>
      <c r="X341" s="160"/>
      <c r="Y341" s="167"/>
      <c r="Z341" s="167"/>
      <c r="AA341" s="167"/>
      <c r="AB341" s="167"/>
      <c r="AC341" s="167"/>
      <c r="AD341" s="167"/>
      <c r="AE341" s="167"/>
      <c r="AF341" s="167"/>
      <c r="AG341" s="167"/>
      <c r="AH341" s="167"/>
      <c r="AI341" s="167"/>
      <c r="AJ341" s="167"/>
      <c r="AK341" s="167"/>
      <c r="AL341" s="167"/>
      <c r="AM341" s="167"/>
      <c r="AN341" s="167"/>
      <c r="AO341" s="167"/>
      <c r="AP341" s="160"/>
      <c r="AQ341" s="160"/>
      <c r="AR341" s="160"/>
      <c r="AS341" s="160"/>
      <c r="AT341" s="160"/>
    </row>
    <row r="342" spans="23:46" s="99" customFormat="1" x14ac:dyDescent="0.25">
      <c r="W342" s="160"/>
      <c r="X342" s="160"/>
      <c r="Y342" s="167"/>
      <c r="Z342" s="167"/>
      <c r="AA342" s="167"/>
      <c r="AB342" s="167"/>
      <c r="AC342" s="167"/>
      <c r="AD342" s="167"/>
      <c r="AE342" s="167"/>
      <c r="AF342" s="167"/>
      <c r="AG342" s="167"/>
      <c r="AH342" s="167"/>
      <c r="AI342" s="167"/>
      <c r="AJ342" s="167"/>
      <c r="AK342" s="167"/>
      <c r="AL342" s="167"/>
      <c r="AM342" s="167"/>
      <c r="AN342" s="167"/>
      <c r="AO342" s="167"/>
      <c r="AP342" s="160"/>
      <c r="AQ342" s="160"/>
      <c r="AR342" s="160"/>
      <c r="AS342" s="160"/>
      <c r="AT342" s="160"/>
    </row>
    <row r="343" spans="23:46" s="99" customFormat="1" x14ac:dyDescent="0.25">
      <c r="W343" s="160"/>
      <c r="X343" s="160"/>
      <c r="Y343" s="167"/>
      <c r="Z343" s="167"/>
      <c r="AA343" s="167"/>
      <c r="AB343" s="167"/>
      <c r="AC343" s="167"/>
      <c r="AD343" s="167"/>
      <c r="AE343" s="167"/>
      <c r="AF343" s="167"/>
      <c r="AG343" s="167"/>
      <c r="AH343" s="167"/>
      <c r="AI343" s="167"/>
      <c r="AJ343" s="167"/>
      <c r="AK343" s="167"/>
      <c r="AL343" s="167"/>
      <c r="AM343" s="167"/>
      <c r="AN343" s="167"/>
      <c r="AO343" s="167"/>
      <c r="AP343" s="160"/>
      <c r="AQ343" s="160"/>
      <c r="AR343" s="160"/>
      <c r="AS343" s="160"/>
      <c r="AT343" s="160"/>
    </row>
    <row r="344" spans="23:46" s="99" customFormat="1" x14ac:dyDescent="0.25">
      <c r="W344" s="160"/>
      <c r="X344" s="160"/>
      <c r="Y344" s="167"/>
      <c r="Z344" s="167"/>
      <c r="AA344" s="167"/>
      <c r="AB344" s="167"/>
      <c r="AC344" s="167"/>
      <c r="AD344" s="167"/>
      <c r="AE344" s="167"/>
      <c r="AF344" s="167"/>
      <c r="AG344" s="167"/>
      <c r="AH344" s="167"/>
      <c r="AI344" s="167"/>
      <c r="AJ344" s="167"/>
      <c r="AK344" s="167"/>
      <c r="AL344" s="167"/>
      <c r="AM344" s="167"/>
      <c r="AN344" s="167"/>
      <c r="AO344" s="167"/>
      <c r="AP344" s="160"/>
      <c r="AQ344" s="160"/>
      <c r="AR344" s="160"/>
      <c r="AS344" s="160"/>
      <c r="AT344" s="160"/>
    </row>
    <row r="345" spans="23:46" s="99" customFormat="1" x14ac:dyDescent="0.25">
      <c r="W345" s="160"/>
      <c r="X345" s="160"/>
      <c r="Y345" s="167"/>
      <c r="Z345" s="167"/>
      <c r="AA345" s="167"/>
      <c r="AB345" s="167"/>
      <c r="AC345" s="167"/>
      <c r="AD345" s="167"/>
      <c r="AE345" s="167"/>
      <c r="AF345" s="167"/>
      <c r="AG345" s="167"/>
      <c r="AH345" s="167"/>
      <c r="AI345" s="167"/>
      <c r="AJ345" s="167"/>
      <c r="AK345" s="167"/>
      <c r="AL345" s="167"/>
      <c r="AM345" s="167"/>
      <c r="AN345" s="167"/>
      <c r="AO345" s="167"/>
      <c r="AP345" s="160"/>
      <c r="AQ345" s="160"/>
      <c r="AR345" s="160"/>
      <c r="AS345" s="160"/>
      <c r="AT345" s="160"/>
    </row>
    <row r="346" spans="23:46" s="99" customFormat="1" x14ac:dyDescent="0.25">
      <c r="W346" s="160"/>
      <c r="X346" s="160"/>
      <c r="Y346" s="167"/>
      <c r="Z346" s="167"/>
      <c r="AA346" s="167"/>
      <c r="AB346" s="167"/>
      <c r="AC346" s="167"/>
      <c r="AD346" s="167"/>
      <c r="AE346" s="167"/>
      <c r="AF346" s="167"/>
      <c r="AG346" s="167"/>
      <c r="AH346" s="167"/>
      <c r="AI346" s="167"/>
      <c r="AJ346" s="167"/>
      <c r="AK346" s="167"/>
      <c r="AL346" s="167"/>
      <c r="AM346" s="167"/>
      <c r="AN346" s="167"/>
      <c r="AO346" s="167"/>
      <c r="AP346" s="160"/>
      <c r="AQ346" s="160"/>
      <c r="AR346" s="160"/>
      <c r="AS346" s="160"/>
      <c r="AT346" s="160"/>
    </row>
    <row r="347" spans="23:46" s="99" customFormat="1" x14ac:dyDescent="0.25">
      <c r="W347" s="160"/>
      <c r="X347" s="160"/>
      <c r="Y347" s="167"/>
      <c r="Z347" s="167"/>
      <c r="AA347" s="167"/>
      <c r="AB347" s="167"/>
      <c r="AC347" s="167"/>
      <c r="AD347" s="167"/>
      <c r="AE347" s="167"/>
      <c r="AF347" s="167"/>
      <c r="AG347" s="167"/>
      <c r="AH347" s="167"/>
      <c r="AI347" s="167"/>
      <c r="AJ347" s="167"/>
      <c r="AK347" s="167"/>
      <c r="AL347" s="167"/>
      <c r="AM347" s="167"/>
      <c r="AN347" s="167"/>
      <c r="AO347" s="167"/>
      <c r="AP347" s="160"/>
      <c r="AQ347" s="160"/>
      <c r="AR347" s="160"/>
      <c r="AS347" s="160"/>
      <c r="AT347" s="160"/>
    </row>
    <row r="348" spans="23:46" s="99" customFormat="1" x14ac:dyDescent="0.25">
      <c r="W348" s="160"/>
      <c r="X348" s="160"/>
      <c r="Y348" s="167"/>
      <c r="Z348" s="167"/>
      <c r="AA348" s="167"/>
      <c r="AB348" s="167"/>
      <c r="AC348" s="167"/>
      <c r="AD348" s="167"/>
      <c r="AE348" s="167"/>
      <c r="AF348" s="167"/>
      <c r="AG348" s="167"/>
      <c r="AH348" s="167"/>
      <c r="AI348" s="167"/>
      <c r="AJ348" s="167"/>
      <c r="AK348" s="167"/>
      <c r="AL348" s="167"/>
      <c r="AM348" s="167"/>
      <c r="AN348" s="167"/>
      <c r="AO348" s="167"/>
      <c r="AP348" s="160"/>
      <c r="AQ348" s="160"/>
      <c r="AR348" s="160"/>
      <c r="AS348" s="160"/>
      <c r="AT348" s="160"/>
    </row>
    <row r="349" spans="23:46" s="99" customFormat="1" x14ac:dyDescent="0.25">
      <c r="W349" s="160"/>
      <c r="X349" s="160"/>
      <c r="Y349" s="167"/>
      <c r="Z349" s="167"/>
      <c r="AA349" s="167"/>
      <c r="AB349" s="167"/>
      <c r="AC349" s="167"/>
      <c r="AD349" s="167"/>
      <c r="AE349" s="167"/>
      <c r="AF349" s="167"/>
      <c r="AG349" s="167"/>
      <c r="AH349" s="167"/>
      <c r="AI349" s="167"/>
      <c r="AJ349" s="167"/>
      <c r="AK349" s="167"/>
      <c r="AL349" s="167"/>
      <c r="AM349" s="167"/>
      <c r="AN349" s="167"/>
      <c r="AO349" s="167"/>
      <c r="AP349" s="160"/>
      <c r="AQ349" s="160"/>
      <c r="AR349" s="160"/>
      <c r="AS349" s="160"/>
      <c r="AT349" s="160"/>
    </row>
    <row r="350" spans="23:46" s="99" customFormat="1" x14ac:dyDescent="0.25">
      <c r="W350" s="160"/>
      <c r="X350" s="160"/>
      <c r="Y350" s="167"/>
      <c r="Z350" s="167"/>
      <c r="AA350" s="167"/>
      <c r="AB350" s="167"/>
      <c r="AC350" s="167"/>
      <c r="AD350" s="167"/>
      <c r="AE350" s="167"/>
      <c r="AF350" s="167"/>
      <c r="AG350" s="167"/>
      <c r="AH350" s="167"/>
      <c r="AI350" s="167"/>
      <c r="AJ350" s="167"/>
      <c r="AK350" s="167"/>
      <c r="AL350" s="167"/>
      <c r="AM350" s="167"/>
      <c r="AN350" s="167"/>
      <c r="AO350" s="167"/>
      <c r="AP350" s="160"/>
      <c r="AQ350" s="160"/>
      <c r="AR350" s="160"/>
      <c r="AS350" s="160"/>
      <c r="AT350" s="160"/>
    </row>
    <row r="351" spans="23:46" s="99" customFormat="1" x14ac:dyDescent="0.25">
      <c r="W351" s="160"/>
      <c r="X351" s="160"/>
      <c r="Y351" s="167"/>
      <c r="Z351" s="167"/>
      <c r="AA351" s="167"/>
      <c r="AB351" s="167"/>
      <c r="AC351" s="167"/>
      <c r="AD351" s="167"/>
      <c r="AE351" s="167"/>
      <c r="AF351" s="167"/>
      <c r="AG351" s="167"/>
      <c r="AH351" s="167"/>
      <c r="AI351" s="167"/>
      <c r="AJ351" s="167"/>
      <c r="AK351" s="167"/>
      <c r="AL351" s="167"/>
      <c r="AM351" s="167"/>
      <c r="AN351" s="167"/>
      <c r="AO351" s="167"/>
      <c r="AP351" s="160"/>
      <c r="AQ351" s="160"/>
      <c r="AR351" s="160"/>
      <c r="AS351" s="160"/>
      <c r="AT351" s="160"/>
    </row>
    <row r="352" spans="23:46" s="99" customFormat="1" x14ac:dyDescent="0.25">
      <c r="W352" s="160"/>
      <c r="X352" s="160"/>
      <c r="Y352" s="167"/>
      <c r="Z352" s="167"/>
      <c r="AA352" s="167"/>
      <c r="AB352" s="167"/>
      <c r="AC352" s="167"/>
      <c r="AD352" s="167"/>
      <c r="AE352" s="167"/>
      <c r="AF352" s="167"/>
      <c r="AG352" s="167"/>
      <c r="AH352" s="167"/>
      <c r="AI352" s="167"/>
      <c r="AJ352" s="167"/>
      <c r="AK352" s="167"/>
      <c r="AL352" s="167"/>
      <c r="AM352" s="167"/>
      <c r="AN352" s="167"/>
      <c r="AO352" s="167"/>
      <c r="AP352" s="160"/>
      <c r="AQ352" s="160"/>
      <c r="AR352" s="160"/>
      <c r="AS352" s="160"/>
      <c r="AT352" s="160"/>
    </row>
    <row r="353" spans="23:46" s="99" customFormat="1" x14ac:dyDescent="0.25">
      <c r="W353" s="160"/>
      <c r="X353" s="160"/>
      <c r="Y353" s="167"/>
      <c r="Z353" s="167"/>
      <c r="AA353" s="167"/>
      <c r="AB353" s="167"/>
      <c r="AC353" s="167"/>
      <c r="AD353" s="167"/>
      <c r="AE353" s="167"/>
      <c r="AF353" s="167"/>
      <c r="AG353" s="167"/>
      <c r="AH353" s="167"/>
      <c r="AI353" s="167"/>
      <c r="AJ353" s="167"/>
      <c r="AK353" s="167"/>
      <c r="AL353" s="167"/>
      <c r="AM353" s="167"/>
      <c r="AN353" s="167"/>
      <c r="AO353" s="167"/>
      <c r="AP353" s="160"/>
      <c r="AQ353" s="160"/>
      <c r="AR353" s="160"/>
      <c r="AS353" s="160"/>
      <c r="AT353" s="160"/>
    </row>
    <row r="354" spans="23:46" s="99" customFormat="1" x14ac:dyDescent="0.25">
      <c r="W354" s="160"/>
      <c r="X354" s="160"/>
      <c r="Y354" s="167"/>
      <c r="Z354" s="167"/>
      <c r="AA354" s="167"/>
      <c r="AB354" s="167"/>
      <c r="AC354" s="167"/>
      <c r="AD354" s="167"/>
      <c r="AE354" s="167"/>
      <c r="AF354" s="167"/>
      <c r="AG354" s="167"/>
      <c r="AH354" s="167"/>
      <c r="AI354" s="167"/>
      <c r="AJ354" s="167"/>
      <c r="AK354" s="167"/>
      <c r="AL354" s="167"/>
      <c r="AM354" s="167"/>
      <c r="AN354" s="167"/>
      <c r="AO354" s="167"/>
      <c r="AP354" s="160"/>
      <c r="AQ354" s="160"/>
      <c r="AR354" s="160"/>
      <c r="AS354" s="160"/>
      <c r="AT354" s="160"/>
    </row>
    <row r="355" spans="23:46" s="99" customFormat="1" x14ac:dyDescent="0.25">
      <c r="W355" s="160"/>
      <c r="X355" s="160"/>
      <c r="Y355" s="167"/>
      <c r="Z355" s="167"/>
      <c r="AA355" s="167"/>
      <c r="AB355" s="167"/>
      <c r="AC355" s="167"/>
      <c r="AD355" s="167"/>
      <c r="AE355" s="167"/>
      <c r="AF355" s="167"/>
      <c r="AG355" s="167"/>
      <c r="AH355" s="167"/>
      <c r="AI355" s="167"/>
      <c r="AJ355" s="167"/>
      <c r="AK355" s="167"/>
      <c r="AL355" s="167"/>
      <c r="AM355" s="167"/>
      <c r="AN355" s="167"/>
      <c r="AO355" s="167"/>
      <c r="AP355" s="160"/>
      <c r="AQ355" s="160"/>
      <c r="AR355" s="160"/>
      <c r="AS355" s="160"/>
      <c r="AT355" s="160"/>
    </row>
    <row r="356" spans="23:46" s="99" customFormat="1" x14ac:dyDescent="0.25">
      <c r="W356" s="160"/>
      <c r="X356" s="160"/>
      <c r="Y356" s="167"/>
      <c r="Z356" s="167"/>
      <c r="AA356" s="167"/>
      <c r="AB356" s="167"/>
      <c r="AC356" s="167"/>
      <c r="AD356" s="167"/>
      <c r="AE356" s="167"/>
      <c r="AF356" s="167"/>
      <c r="AG356" s="167"/>
      <c r="AH356" s="167"/>
      <c r="AI356" s="167"/>
      <c r="AJ356" s="167"/>
      <c r="AK356" s="167"/>
      <c r="AL356" s="167"/>
      <c r="AM356" s="167"/>
      <c r="AN356" s="167"/>
      <c r="AO356" s="167"/>
      <c r="AP356" s="160"/>
      <c r="AQ356" s="160"/>
      <c r="AR356" s="160"/>
      <c r="AS356" s="160"/>
      <c r="AT356" s="160"/>
    </row>
    <row r="357" spans="23:46" s="99" customFormat="1" x14ac:dyDescent="0.25">
      <c r="W357" s="160"/>
      <c r="X357" s="160"/>
      <c r="Y357" s="167"/>
      <c r="Z357" s="167"/>
      <c r="AA357" s="167"/>
      <c r="AB357" s="167"/>
      <c r="AC357" s="167"/>
      <c r="AD357" s="167"/>
      <c r="AE357" s="167"/>
      <c r="AF357" s="167"/>
      <c r="AG357" s="167"/>
      <c r="AH357" s="167"/>
      <c r="AI357" s="167"/>
      <c r="AJ357" s="167"/>
      <c r="AK357" s="167"/>
      <c r="AL357" s="167"/>
      <c r="AM357" s="167"/>
      <c r="AN357" s="167"/>
      <c r="AO357" s="167"/>
      <c r="AP357" s="160"/>
      <c r="AQ357" s="160"/>
      <c r="AR357" s="160"/>
      <c r="AS357" s="160"/>
      <c r="AT357" s="160"/>
    </row>
    <row r="358" spans="23:46" s="99" customFormat="1" x14ac:dyDescent="0.25">
      <c r="W358" s="160"/>
      <c r="X358" s="160"/>
      <c r="Y358" s="167"/>
      <c r="Z358" s="167"/>
      <c r="AA358" s="167"/>
      <c r="AB358" s="167"/>
      <c r="AC358" s="167"/>
      <c r="AD358" s="167"/>
      <c r="AE358" s="167"/>
      <c r="AF358" s="167"/>
      <c r="AG358" s="167"/>
      <c r="AH358" s="167"/>
      <c r="AI358" s="167"/>
      <c r="AJ358" s="167"/>
      <c r="AK358" s="167"/>
      <c r="AL358" s="167"/>
      <c r="AM358" s="167"/>
      <c r="AN358" s="167"/>
      <c r="AO358" s="167"/>
      <c r="AP358" s="160"/>
      <c r="AQ358" s="160"/>
      <c r="AR358" s="160"/>
      <c r="AS358" s="160"/>
      <c r="AT358" s="160"/>
    </row>
    <row r="359" spans="23:46" s="99" customFormat="1" x14ac:dyDescent="0.25">
      <c r="W359" s="160"/>
      <c r="X359" s="160"/>
      <c r="Y359" s="167"/>
      <c r="Z359" s="167"/>
      <c r="AA359" s="167"/>
      <c r="AB359" s="167"/>
      <c r="AC359" s="167"/>
      <c r="AD359" s="167"/>
      <c r="AE359" s="167"/>
      <c r="AF359" s="167"/>
      <c r="AG359" s="167"/>
      <c r="AH359" s="167"/>
      <c r="AI359" s="167"/>
      <c r="AJ359" s="167"/>
      <c r="AK359" s="167"/>
      <c r="AL359" s="167"/>
      <c r="AM359" s="167"/>
      <c r="AN359" s="167"/>
      <c r="AO359" s="167"/>
      <c r="AP359" s="160"/>
      <c r="AQ359" s="160"/>
      <c r="AR359" s="160"/>
      <c r="AS359" s="160"/>
      <c r="AT359" s="160"/>
    </row>
    <row r="360" spans="23:46" s="99" customFormat="1" x14ac:dyDescent="0.25">
      <c r="W360" s="160"/>
      <c r="X360" s="160"/>
      <c r="Y360" s="167"/>
      <c r="Z360" s="167"/>
      <c r="AA360" s="167"/>
      <c r="AB360" s="167"/>
      <c r="AC360" s="167"/>
      <c r="AD360" s="167"/>
      <c r="AE360" s="167"/>
      <c r="AF360" s="167"/>
      <c r="AG360" s="167"/>
      <c r="AH360" s="167"/>
      <c r="AI360" s="167"/>
      <c r="AJ360" s="167"/>
      <c r="AK360" s="167"/>
      <c r="AL360" s="167"/>
      <c r="AM360" s="167"/>
      <c r="AN360" s="167"/>
      <c r="AO360" s="167"/>
      <c r="AP360" s="160"/>
      <c r="AQ360" s="160"/>
      <c r="AR360" s="160"/>
      <c r="AS360" s="160"/>
      <c r="AT360" s="160"/>
    </row>
    <row r="361" spans="23:46" s="99" customFormat="1" x14ac:dyDescent="0.25">
      <c r="W361" s="160"/>
      <c r="X361" s="160"/>
      <c r="Y361" s="167"/>
      <c r="Z361" s="167"/>
      <c r="AA361" s="167"/>
      <c r="AB361" s="167"/>
      <c r="AC361" s="167"/>
      <c r="AD361" s="167"/>
      <c r="AE361" s="167"/>
      <c r="AF361" s="167"/>
      <c r="AG361" s="167"/>
      <c r="AH361" s="167"/>
      <c r="AI361" s="167"/>
      <c r="AJ361" s="167"/>
      <c r="AK361" s="167"/>
      <c r="AL361" s="167"/>
      <c r="AM361" s="167"/>
      <c r="AN361" s="167"/>
      <c r="AO361" s="167"/>
      <c r="AP361" s="160"/>
      <c r="AQ361" s="160"/>
      <c r="AR361" s="160"/>
      <c r="AS361" s="160"/>
      <c r="AT361" s="160"/>
    </row>
    <row r="362" spans="23:46" s="99" customFormat="1" x14ac:dyDescent="0.25">
      <c r="W362" s="160"/>
      <c r="X362" s="160"/>
      <c r="Y362" s="167"/>
      <c r="Z362" s="167"/>
      <c r="AA362" s="167"/>
      <c r="AB362" s="167"/>
      <c r="AC362" s="167"/>
      <c r="AD362" s="167"/>
      <c r="AE362" s="167"/>
      <c r="AF362" s="167"/>
      <c r="AG362" s="167"/>
      <c r="AH362" s="167"/>
      <c r="AI362" s="167"/>
      <c r="AJ362" s="167"/>
      <c r="AK362" s="167"/>
      <c r="AL362" s="167"/>
      <c r="AM362" s="167"/>
      <c r="AN362" s="167"/>
      <c r="AO362" s="167"/>
      <c r="AP362" s="160"/>
      <c r="AQ362" s="160"/>
      <c r="AR362" s="160"/>
      <c r="AS362" s="160"/>
      <c r="AT362" s="160"/>
    </row>
    <row r="363" spans="23:46" s="99" customFormat="1" x14ac:dyDescent="0.25">
      <c r="W363" s="160"/>
      <c r="X363" s="160"/>
      <c r="Y363" s="167"/>
      <c r="Z363" s="167"/>
      <c r="AA363" s="167"/>
      <c r="AB363" s="167"/>
      <c r="AC363" s="167"/>
      <c r="AD363" s="167"/>
      <c r="AE363" s="167"/>
      <c r="AF363" s="167"/>
      <c r="AG363" s="167"/>
      <c r="AH363" s="167"/>
      <c r="AI363" s="167"/>
      <c r="AJ363" s="167"/>
      <c r="AK363" s="167"/>
      <c r="AL363" s="167"/>
      <c r="AM363" s="167"/>
      <c r="AN363" s="167"/>
      <c r="AO363" s="167"/>
      <c r="AP363" s="160"/>
      <c r="AQ363" s="160"/>
      <c r="AR363" s="160"/>
      <c r="AS363" s="160"/>
      <c r="AT363" s="160"/>
    </row>
    <row r="364" spans="23:46" s="99" customFormat="1" x14ac:dyDescent="0.25">
      <c r="W364" s="160"/>
      <c r="X364" s="160"/>
      <c r="Y364" s="167"/>
      <c r="Z364" s="167"/>
      <c r="AA364" s="167"/>
      <c r="AB364" s="167"/>
      <c r="AC364" s="167"/>
      <c r="AD364" s="167"/>
      <c r="AE364" s="167"/>
      <c r="AF364" s="167"/>
      <c r="AG364" s="167"/>
      <c r="AH364" s="167"/>
      <c r="AI364" s="167"/>
      <c r="AJ364" s="167"/>
      <c r="AK364" s="167"/>
      <c r="AL364" s="167"/>
      <c r="AM364" s="167"/>
      <c r="AN364" s="167"/>
      <c r="AO364" s="167"/>
      <c r="AP364" s="160"/>
      <c r="AQ364" s="160"/>
      <c r="AR364" s="160"/>
      <c r="AS364" s="160"/>
      <c r="AT364" s="160"/>
    </row>
    <row r="365" spans="23:46" s="99" customFormat="1" x14ac:dyDescent="0.25">
      <c r="W365" s="160"/>
      <c r="X365" s="160"/>
      <c r="Y365" s="167"/>
      <c r="Z365" s="167"/>
      <c r="AA365" s="167"/>
      <c r="AB365" s="167"/>
      <c r="AC365" s="167"/>
      <c r="AD365" s="167"/>
      <c r="AE365" s="167"/>
      <c r="AF365" s="167"/>
      <c r="AG365" s="167"/>
      <c r="AH365" s="167"/>
      <c r="AI365" s="167"/>
      <c r="AJ365" s="167"/>
      <c r="AK365" s="167"/>
      <c r="AL365" s="167"/>
      <c r="AM365" s="167"/>
      <c r="AN365" s="167"/>
      <c r="AO365" s="167"/>
      <c r="AP365" s="160"/>
      <c r="AQ365" s="160"/>
      <c r="AR365" s="160"/>
      <c r="AS365" s="160"/>
      <c r="AT365" s="160"/>
    </row>
    <row r="366" spans="23:46" s="99" customFormat="1" x14ac:dyDescent="0.25">
      <c r="W366" s="160"/>
      <c r="X366" s="160"/>
      <c r="Y366" s="167"/>
      <c r="Z366" s="167"/>
      <c r="AA366" s="167"/>
      <c r="AB366" s="167"/>
      <c r="AC366" s="167"/>
      <c r="AD366" s="167"/>
      <c r="AE366" s="167"/>
      <c r="AF366" s="167"/>
      <c r="AG366" s="167"/>
      <c r="AH366" s="167"/>
      <c r="AI366" s="167"/>
      <c r="AJ366" s="167"/>
      <c r="AK366" s="167"/>
      <c r="AL366" s="167"/>
      <c r="AM366" s="167"/>
      <c r="AN366" s="167"/>
      <c r="AO366" s="167"/>
      <c r="AP366" s="160"/>
      <c r="AQ366" s="160"/>
      <c r="AR366" s="160"/>
      <c r="AS366" s="160"/>
      <c r="AT366" s="160"/>
    </row>
    <row r="367" spans="23:46" s="99" customFormat="1" x14ac:dyDescent="0.25">
      <c r="W367" s="160"/>
      <c r="X367" s="160"/>
      <c r="Y367" s="167"/>
      <c r="Z367" s="167"/>
      <c r="AA367" s="167"/>
      <c r="AB367" s="167"/>
      <c r="AC367" s="167"/>
      <c r="AD367" s="167"/>
      <c r="AE367" s="167"/>
      <c r="AF367" s="167"/>
      <c r="AG367" s="167"/>
      <c r="AH367" s="167"/>
      <c r="AI367" s="167"/>
      <c r="AJ367" s="167"/>
      <c r="AK367" s="167"/>
      <c r="AL367" s="167"/>
      <c r="AM367" s="167"/>
      <c r="AN367" s="167"/>
      <c r="AO367" s="167"/>
      <c r="AP367" s="160"/>
      <c r="AQ367" s="160"/>
      <c r="AR367" s="160"/>
      <c r="AS367" s="160"/>
      <c r="AT367" s="160"/>
    </row>
    <row r="368" spans="23:46" s="99" customFormat="1" x14ac:dyDescent="0.25">
      <c r="W368" s="160"/>
      <c r="X368" s="160"/>
      <c r="Y368" s="167"/>
      <c r="Z368" s="167"/>
      <c r="AA368" s="167"/>
      <c r="AB368" s="167"/>
      <c r="AC368" s="167"/>
      <c r="AD368" s="167"/>
      <c r="AE368" s="167"/>
      <c r="AF368" s="167"/>
      <c r="AG368" s="167"/>
      <c r="AH368" s="167"/>
      <c r="AI368" s="167"/>
      <c r="AJ368" s="167"/>
      <c r="AK368" s="167"/>
      <c r="AL368" s="167"/>
      <c r="AM368" s="167"/>
      <c r="AN368" s="167"/>
      <c r="AO368" s="167"/>
      <c r="AP368" s="160"/>
      <c r="AQ368" s="160"/>
      <c r="AR368" s="160"/>
      <c r="AS368" s="160"/>
      <c r="AT368" s="160"/>
    </row>
    <row r="369" spans="23:46" s="99" customFormat="1" x14ac:dyDescent="0.25">
      <c r="W369" s="160"/>
      <c r="X369" s="160"/>
      <c r="Y369" s="167"/>
      <c r="Z369" s="167"/>
      <c r="AA369" s="167"/>
      <c r="AB369" s="167"/>
      <c r="AC369" s="167"/>
      <c r="AD369" s="167"/>
      <c r="AE369" s="167"/>
      <c r="AF369" s="167"/>
      <c r="AG369" s="167"/>
      <c r="AH369" s="167"/>
      <c r="AI369" s="167"/>
      <c r="AJ369" s="167"/>
      <c r="AK369" s="167"/>
      <c r="AL369" s="167"/>
      <c r="AM369" s="167"/>
      <c r="AN369" s="167"/>
      <c r="AO369" s="167"/>
      <c r="AP369" s="160"/>
      <c r="AQ369" s="160"/>
      <c r="AR369" s="160"/>
      <c r="AS369" s="160"/>
      <c r="AT369" s="160"/>
    </row>
    <row r="370" spans="23:46" s="99" customFormat="1" x14ac:dyDescent="0.25">
      <c r="W370" s="160"/>
      <c r="X370" s="160"/>
      <c r="Y370" s="167"/>
      <c r="Z370" s="167"/>
      <c r="AA370" s="167"/>
      <c r="AB370" s="167"/>
      <c r="AC370" s="167"/>
      <c r="AD370" s="167"/>
      <c r="AE370" s="167"/>
      <c r="AF370" s="167"/>
      <c r="AG370" s="167"/>
      <c r="AH370" s="167"/>
      <c r="AI370" s="167"/>
      <c r="AJ370" s="167"/>
      <c r="AK370" s="167"/>
      <c r="AL370" s="167"/>
      <c r="AM370" s="167"/>
      <c r="AN370" s="167"/>
      <c r="AO370" s="167"/>
      <c r="AP370" s="160"/>
      <c r="AQ370" s="160"/>
      <c r="AR370" s="160"/>
      <c r="AS370" s="160"/>
      <c r="AT370" s="160"/>
    </row>
    <row r="371" spans="23:46" s="99" customFormat="1" x14ac:dyDescent="0.25">
      <c r="W371" s="160"/>
      <c r="X371" s="160"/>
      <c r="Y371" s="167"/>
      <c r="Z371" s="167"/>
      <c r="AA371" s="167"/>
      <c r="AB371" s="167"/>
      <c r="AC371" s="167"/>
      <c r="AD371" s="167"/>
      <c r="AE371" s="167"/>
      <c r="AF371" s="167"/>
      <c r="AG371" s="167"/>
      <c r="AH371" s="167"/>
      <c r="AI371" s="167"/>
      <c r="AJ371" s="167"/>
      <c r="AK371" s="167"/>
      <c r="AL371" s="167"/>
      <c r="AM371" s="167"/>
      <c r="AN371" s="167"/>
      <c r="AO371" s="167"/>
      <c r="AP371" s="160"/>
      <c r="AQ371" s="160"/>
      <c r="AR371" s="160"/>
      <c r="AS371" s="160"/>
      <c r="AT371" s="160"/>
    </row>
    <row r="372" spans="23:46" s="99" customFormat="1" x14ac:dyDescent="0.25">
      <c r="W372" s="160"/>
      <c r="X372" s="160"/>
      <c r="Y372" s="167"/>
      <c r="Z372" s="167"/>
      <c r="AA372" s="167"/>
      <c r="AB372" s="167"/>
      <c r="AC372" s="167"/>
      <c r="AD372" s="167"/>
      <c r="AE372" s="167"/>
      <c r="AF372" s="167"/>
      <c r="AG372" s="167"/>
      <c r="AH372" s="167"/>
      <c r="AI372" s="167"/>
      <c r="AJ372" s="167"/>
      <c r="AK372" s="167"/>
      <c r="AL372" s="167"/>
      <c r="AM372" s="167"/>
      <c r="AN372" s="167"/>
      <c r="AO372" s="167"/>
      <c r="AP372" s="160"/>
      <c r="AQ372" s="160"/>
      <c r="AR372" s="160"/>
      <c r="AS372" s="160"/>
      <c r="AT372" s="160"/>
    </row>
    <row r="373" spans="23:46" s="99" customFormat="1" x14ac:dyDescent="0.25">
      <c r="W373" s="160"/>
      <c r="X373" s="160"/>
      <c r="Y373" s="167"/>
      <c r="Z373" s="167"/>
      <c r="AA373" s="167"/>
      <c r="AB373" s="167"/>
      <c r="AC373" s="167"/>
      <c r="AD373" s="167"/>
      <c r="AE373" s="167"/>
      <c r="AF373" s="167"/>
      <c r="AG373" s="167"/>
      <c r="AH373" s="167"/>
      <c r="AI373" s="167"/>
      <c r="AJ373" s="167"/>
      <c r="AK373" s="167"/>
      <c r="AL373" s="167"/>
      <c r="AM373" s="167"/>
      <c r="AN373" s="167"/>
      <c r="AO373" s="167"/>
      <c r="AP373" s="160"/>
      <c r="AQ373" s="160"/>
      <c r="AR373" s="160"/>
      <c r="AS373" s="160"/>
      <c r="AT373" s="160"/>
    </row>
    <row r="374" spans="23:46" s="99" customFormat="1" x14ac:dyDescent="0.25">
      <c r="W374" s="160"/>
      <c r="X374" s="160"/>
      <c r="Y374" s="167"/>
      <c r="Z374" s="167"/>
      <c r="AA374" s="167"/>
      <c r="AB374" s="167"/>
      <c r="AC374" s="167"/>
      <c r="AD374" s="167"/>
      <c r="AE374" s="167"/>
      <c r="AF374" s="167"/>
      <c r="AG374" s="167"/>
      <c r="AH374" s="167"/>
      <c r="AI374" s="167"/>
      <c r="AJ374" s="167"/>
      <c r="AK374" s="167"/>
      <c r="AL374" s="167"/>
      <c r="AM374" s="167"/>
      <c r="AN374" s="167"/>
      <c r="AO374" s="167"/>
      <c r="AP374" s="160"/>
      <c r="AQ374" s="160"/>
      <c r="AR374" s="160"/>
      <c r="AS374" s="160"/>
      <c r="AT374" s="160"/>
    </row>
    <row r="375" spans="23:46" s="99" customFormat="1" x14ac:dyDescent="0.25">
      <c r="W375" s="160"/>
      <c r="X375" s="160"/>
      <c r="Y375" s="167"/>
      <c r="Z375" s="167"/>
      <c r="AA375" s="167"/>
      <c r="AB375" s="167"/>
      <c r="AC375" s="167"/>
      <c r="AD375" s="167"/>
      <c r="AE375" s="167"/>
      <c r="AF375" s="167"/>
      <c r="AG375" s="167"/>
      <c r="AH375" s="167"/>
      <c r="AI375" s="167"/>
      <c r="AJ375" s="167"/>
      <c r="AK375" s="167"/>
      <c r="AL375" s="167"/>
      <c r="AM375" s="167"/>
      <c r="AN375" s="167"/>
      <c r="AO375" s="167"/>
      <c r="AP375" s="160"/>
      <c r="AQ375" s="160"/>
      <c r="AR375" s="160"/>
      <c r="AS375" s="160"/>
      <c r="AT375" s="160"/>
    </row>
    <row r="376" spans="23:46" s="99" customFormat="1" x14ac:dyDescent="0.25">
      <c r="W376" s="160"/>
      <c r="X376" s="160"/>
      <c r="Y376" s="167"/>
      <c r="Z376" s="167"/>
      <c r="AA376" s="167"/>
      <c r="AB376" s="167"/>
      <c r="AC376" s="167"/>
      <c r="AD376" s="167"/>
      <c r="AE376" s="167"/>
      <c r="AF376" s="167"/>
      <c r="AG376" s="167"/>
      <c r="AH376" s="167"/>
      <c r="AI376" s="167"/>
      <c r="AJ376" s="167"/>
      <c r="AK376" s="167"/>
      <c r="AL376" s="167"/>
      <c r="AM376" s="167"/>
      <c r="AN376" s="167"/>
      <c r="AO376" s="167"/>
      <c r="AP376" s="160"/>
      <c r="AQ376" s="160"/>
      <c r="AR376" s="160"/>
      <c r="AS376" s="160"/>
      <c r="AT376" s="160"/>
    </row>
    <row r="377" spans="23:46" s="99" customFormat="1" x14ac:dyDescent="0.25">
      <c r="W377" s="160"/>
      <c r="X377" s="160"/>
      <c r="Y377" s="167"/>
      <c r="Z377" s="167"/>
      <c r="AA377" s="167"/>
      <c r="AB377" s="167"/>
      <c r="AC377" s="167"/>
      <c r="AD377" s="167"/>
      <c r="AE377" s="167"/>
      <c r="AF377" s="167"/>
      <c r="AG377" s="167"/>
      <c r="AH377" s="167"/>
      <c r="AI377" s="167"/>
      <c r="AJ377" s="167"/>
      <c r="AK377" s="167"/>
      <c r="AL377" s="167"/>
      <c r="AM377" s="167"/>
      <c r="AN377" s="167"/>
      <c r="AO377" s="167"/>
      <c r="AP377" s="160"/>
      <c r="AQ377" s="160"/>
      <c r="AR377" s="160"/>
      <c r="AS377" s="160"/>
      <c r="AT377" s="160"/>
    </row>
    <row r="378" spans="23:46" s="99" customFormat="1" x14ac:dyDescent="0.25">
      <c r="W378" s="160"/>
      <c r="X378" s="160"/>
      <c r="Y378" s="167"/>
      <c r="Z378" s="167"/>
      <c r="AA378" s="167"/>
      <c r="AB378" s="167"/>
      <c r="AC378" s="167"/>
      <c r="AD378" s="167"/>
      <c r="AE378" s="167"/>
      <c r="AF378" s="167"/>
      <c r="AG378" s="167"/>
      <c r="AH378" s="167"/>
      <c r="AI378" s="167"/>
      <c r="AJ378" s="167"/>
      <c r="AK378" s="167"/>
      <c r="AL378" s="167"/>
      <c r="AM378" s="167"/>
      <c r="AN378" s="167"/>
      <c r="AO378" s="167"/>
      <c r="AP378" s="160"/>
      <c r="AQ378" s="160"/>
      <c r="AR378" s="160"/>
      <c r="AS378" s="160"/>
      <c r="AT378" s="160"/>
    </row>
    <row r="379" spans="23:46" s="99" customFormat="1" x14ac:dyDescent="0.25">
      <c r="W379" s="160"/>
      <c r="X379" s="160"/>
      <c r="Y379" s="167"/>
      <c r="Z379" s="167"/>
      <c r="AA379" s="167"/>
      <c r="AB379" s="167"/>
      <c r="AC379" s="167"/>
      <c r="AD379" s="167"/>
      <c r="AE379" s="167"/>
      <c r="AF379" s="167"/>
      <c r="AG379" s="167"/>
      <c r="AH379" s="167"/>
      <c r="AI379" s="167"/>
      <c r="AJ379" s="167"/>
      <c r="AK379" s="167"/>
      <c r="AL379" s="167"/>
      <c r="AM379" s="167"/>
      <c r="AN379" s="167"/>
      <c r="AO379" s="167"/>
      <c r="AP379" s="160"/>
      <c r="AQ379" s="160"/>
      <c r="AR379" s="160"/>
      <c r="AS379" s="160"/>
      <c r="AT379" s="160"/>
    </row>
    <row r="380" spans="23:46" s="99" customFormat="1" x14ac:dyDescent="0.25">
      <c r="W380" s="160"/>
      <c r="X380" s="160"/>
      <c r="Y380" s="167"/>
      <c r="Z380" s="167"/>
      <c r="AA380" s="167"/>
      <c r="AB380" s="167"/>
      <c r="AC380" s="167"/>
      <c r="AD380" s="167"/>
      <c r="AE380" s="167"/>
      <c r="AF380" s="167"/>
      <c r="AG380" s="167"/>
      <c r="AH380" s="167"/>
      <c r="AI380" s="167"/>
      <c r="AJ380" s="167"/>
      <c r="AK380" s="167"/>
      <c r="AL380" s="167"/>
      <c r="AM380" s="167"/>
      <c r="AN380" s="167"/>
      <c r="AO380" s="167"/>
      <c r="AP380" s="160"/>
      <c r="AQ380" s="160"/>
      <c r="AR380" s="160"/>
      <c r="AS380" s="160"/>
      <c r="AT380" s="160"/>
    </row>
    <row r="381" spans="23:46" s="99" customFormat="1" x14ac:dyDescent="0.25">
      <c r="W381" s="160"/>
      <c r="X381" s="160"/>
      <c r="Y381" s="167"/>
      <c r="Z381" s="167"/>
      <c r="AA381" s="167"/>
      <c r="AB381" s="167"/>
      <c r="AC381" s="167"/>
      <c r="AD381" s="167"/>
      <c r="AE381" s="167"/>
      <c r="AF381" s="167"/>
      <c r="AG381" s="167"/>
      <c r="AH381" s="167"/>
      <c r="AI381" s="167"/>
      <c r="AJ381" s="167"/>
      <c r="AK381" s="167"/>
      <c r="AL381" s="167"/>
      <c r="AM381" s="167"/>
      <c r="AN381" s="167"/>
      <c r="AO381" s="167"/>
      <c r="AP381" s="160"/>
      <c r="AQ381" s="160"/>
      <c r="AR381" s="160"/>
      <c r="AS381" s="160"/>
      <c r="AT381" s="160"/>
    </row>
    <row r="382" spans="23:46" s="99" customFormat="1" x14ac:dyDescent="0.25">
      <c r="W382" s="160"/>
      <c r="X382" s="160"/>
      <c r="Y382" s="167"/>
      <c r="Z382" s="167"/>
      <c r="AA382" s="167"/>
      <c r="AB382" s="167"/>
      <c r="AC382" s="167"/>
      <c r="AD382" s="167"/>
      <c r="AE382" s="167"/>
      <c r="AF382" s="167"/>
      <c r="AG382" s="167"/>
      <c r="AH382" s="167"/>
      <c r="AI382" s="167"/>
      <c r="AJ382" s="167"/>
      <c r="AK382" s="167"/>
      <c r="AL382" s="167"/>
      <c r="AM382" s="167"/>
      <c r="AN382" s="167"/>
      <c r="AO382" s="167"/>
      <c r="AP382" s="160"/>
      <c r="AQ382" s="160"/>
      <c r="AR382" s="160"/>
      <c r="AS382" s="160"/>
      <c r="AT382" s="160"/>
    </row>
    <row r="383" spans="23:46" s="99" customFormat="1" x14ac:dyDescent="0.25">
      <c r="W383" s="160"/>
      <c r="X383" s="160"/>
      <c r="Y383" s="167"/>
      <c r="Z383" s="167"/>
      <c r="AA383" s="167"/>
      <c r="AB383" s="167"/>
      <c r="AC383" s="167"/>
      <c r="AD383" s="167"/>
      <c r="AE383" s="167"/>
      <c r="AF383" s="167"/>
      <c r="AG383" s="167"/>
      <c r="AH383" s="167"/>
      <c r="AI383" s="167"/>
      <c r="AJ383" s="167"/>
      <c r="AK383" s="167"/>
      <c r="AL383" s="167"/>
      <c r="AM383" s="167"/>
      <c r="AN383" s="167"/>
      <c r="AO383" s="167"/>
      <c r="AP383" s="160"/>
      <c r="AQ383" s="160"/>
      <c r="AR383" s="160"/>
      <c r="AS383" s="160"/>
      <c r="AT383" s="160"/>
    </row>
    <row r="384" spans="23:46" s="99" customFormat="1" x14ac:dyDescent="0.25">
      <c r="W384" s="160"/>
      <c r="X384" s="160"/>
      <c r="Y384" s="167"/>
      <c r="Z384" s="167"/>
      <c r="AA384" s="167"/>
      <c r="AB384" s="167"/>
      <c r="AC384" s="167"/>
      <c r="AD384" s="167"/>
      <c r="AE384" s="167"/>
      <c r="AF384" s="167"/>
      <c r="AG384" s="167"/>
      <c r="AH384" s="167"/>
      <c r="AI384" s="167"/>
      <c r="AJ384" s="167"/>
      <c r="AK384" s="167"/>
      <c r="AL384" s="167"/>
      <c r="AM384" s="167"/>
      <c r="AN384" s="167"/>
      <c r="AO384" s="167"/>
      <c r="AP384" s="160"/>
      <c r="AQ384" s="160"/>
      <c r="AR384" s="160"/>
      <c r="AS384" s="160"/>
      <c r="AT384" s="160"/>
    </row>
    <row r="385" spans="23:46" s="99" customFormat="1" x14ac:dyDescent="0.25">
      <c r="W385" s="160"/>
      <c r="X385" s="160"/>
      <c r="Y385" s="167"/>
      <c r="Z385" s="167"/>
      <c r="AA385" s="167"/>
      <c r="AB385" s="167"/>
      <c r="AC385" s="167"/>
      <c r="AD385" s="167"/>
      <c r="AE385" s="167"/>
      <c r="AF385" s="167"/>
      <c r="AG385" s="167"/>
      <c r="AH385" s="167"/>
      <c r="AI385" s="167"/>
      <c r="AJ385" s="167"/>
      <c r="AK385" s="167"/>
      <c r="AL385" s="167"/>
      <c r="AM385" s="167"/>
      <c r="AN385" s="167"/>
      <c r="AO385" s="167"/>
      <c r="AP385" s="160"/>
      <c r="AQ385" s="160"/>
      <c r="AR385" s="160"/>
      <c r="AS385" s="160"/>
      <c r="AT385" s="160"/>
    </row>
    <row r="386" spans="23:46" s="99" customFormat="1" x14ac:dyDescent="0.25">
      <c r="W386" s="160"/>
      <c r="X386" s="160"/>
      <c r="Y386" s="167"/>
      <c r="Z386" s="167"/>
      <c r="AA386" s="167"/>
      <c r="AB386" s="167"/>
      <c r="AC386" s="167"/>
      <c r="AD386" s="167"/>
      <c r="AE386" s="167"/>
      <c r="AF386" s="167"/>
      <c r="AG386" s="167"/>
      <c r="AH386" s="167"/>
      <c r="AI386" s="167"/>
      <c r="AJ386" s="167"/>
      <c r="AK386" s="167"/>
      <c r="AL386" s="167"/>
      <c r="AM386" s="167"/>
      <c r="AN386" s="167"/>
      <c r="AO386" s="167"/>
      <c r="AP386" s="160"/>
      <c r="AQ386" s="160"/>
      <c r="AR386" s="160"/>
      <c r="AS386" s="160"/>
      <c r="AT386" s="160"/>
    </row>
    <row r="387" spans="23:46" s="99" customFormat="1" x14ac:dyDescent="0.25">
      <c r="W387" s="160"/>
      <c r="X387" s="160"/>
      <c r="Y387" s="167"/>
      <c r="Z387" s="167"/>
      <c r="AA387" s="167"/>
      <c r="AB387" s="167"/>
      <c r="AC387" s="167"/>
      <c r="AD387" s="167"/>
      <c r="AE387" s="167"/>
      <c r="AF387" s="167"/>
      <c r="AG387" s="167"/>
      <c r="AH387" s="167"/>
      <c r="AI387" s="167"/>
      <c r="AJ387" s="167"/>
      <c r="AK387" s="167"/>
      <c r="AL387" s="167"/>
      <c r="AM387" s="167"/>
      <c r="AN387" s="167"/>
      <c r="AO387" s="167"/>
      <c r="AP387" s="160"/>
      <c r="AQ387" s="160"/>
      <c r="AR387" s="160"/>
      <c r="AS387" s="160"/>
      <c r="AT387" s="160"/>
    </row>
    <row r="388" spans="23:46" s="99" customFormat="1" x14ac:dyDescent="0.25">
      <c r="W388" s="160"/>
      <c r="X388" s="160"/>
      <c r="Y388" s="167"/>
      <c r="Z388" s="167"/>
      <c r="AA388" s="167"/>
      <c r="AB388" s="167"/>
      <c r="AC388" s="167"/>
      <c r="AD388" s="167"/>
      <c r="AE388" s="167"/>
      <c r="AF388" s="167"/>
      <c r="AG388" s="167"/>
      <c r="AH388" s="167"/>
      <c r="AI388" s="167"/>
      <c r="AJ388" s="167"/>
      <c r="AK388" s="167"/>
      <c r="AL388" s="167"/>
      <c r="AM388" s="167"/>
      <c r="AN388" s="167"/>
      <c r="AO388" s="167"/>
      <c r="AP388" s="160"/>
      <c r="AQ388" s="160"/>
      <c r="AR388" s="160"/>
      <c r="AS388" s="160"/>
      <c r="AT388" s="160"/>
    </row>
    <row r="389" spans="23:46" s="99" customFormat="1" x14ac:dyDescent="0.25">
      <c r="W389" s="160"/>
      <c r="X389" s="160"/>
      <c r="Y389" s="167"/>
      <c r="Z389" s="167"/>
      <c r="AA389" s="167"/>
      <c r="AB389" s="167"/>
      <c r="AC389" s="167"/>
      <c r="AD389" s="167"/>
      <c r="AE389" s="167"/>
      <c r="AF389" s="167"/>
      <c r="AG389" s="167"/>
      <c r="AH389" s="167"/>
      <c r="AI389" s="167"/>
      <c r="AJ389" s="167"/>
      <c r="AK389" s="167"/>
      <c r="AL389" s="167"/>
      <c r="AM389" s="167"/>
      <c r="AN389" s="167"/>
      <c r="AO389" s="167"/>
      <c r="AP389" s="160"/>
      <c r="AQ389" s="160"/>
      <c r="AR389" s="160"/>
      <c r="AS389" s="160"/>
      <c r="AT389" s="160"/>
    </row>
    <row r="390" spans="23:46" s="99" customFormat="1" x14ac:dyDescent="0.25">
      <c r="W390" s="160"/>
      <c r="X390" s="160"/>
      <c r="Y390" s="167"/>
      <c r="Z390" s="167"/>
      <c r="AA390" s="167"/>
      <c r="AB390" s="167"/>
      <c r="AC390" s="167"/>
      <c r="AD390" s="167"/>
      <c r="AE390" s="167"/>
      <c r="AF390" s="167"/>
      <c r="AG390" s="167"/>
      <c r="AH390" s="167"/>
      <c r="AI390" s="167"/>
      <c r="AJ390" s="167"/>
      <c r="AK390" s="167"/>
      <c r="AL390" s="167"/>
      <c r="AM390" s="167"/>
      <c r="AN390" s="167"/>
      <c r="AO390" s="167"/>
      <c r="AP390" s="160"/>
      <c r="AQ390" s="160"/>
      <c r="AR390" s="160"/>
      <c r="AS390" s="160"/>
      <c r="AT390" s="160"/>
    </row>
    <row r="391" spans="23:46" s="99" customFormat="1" x14ac:dyDescent="0.25">
      <c r="W391" s="160"/>
      <c r="X391" s="160"/>
      <c r="Y391" s="167"/>
      <c r="Z391" s="167"/>
      <c r="AA391" s="167"/>
      <c r="AB391" s="167"/>
      <c r="AC391" s="167"/>
      <c r="AD391" s="167"/>
      <c r="AE391" s="167"/>
      <c r="AF391" s="167"/>
      <c r="AG391" s="167"/>
      <c r="AH391" s="167"/>
      <c r="AI391" s="167"/>
      <c r="AJ391" s="167"/>
      <c r="AK391" s="167"/>
      <c r="AL391" s="167"/>
      <c r="AM391" s="167"/>
      <c r="AN391" s="167"/>
      <c r="AO391" s="167"/>
      <c r="AP391" s="160"/>
      <c r="AQ391" s="160"/>
      <c r="AR391" s="160"/>
      <c r="AS391" s="160"/>
      <c r="AT391" s="160"/>
    </row>
    <row r="392" spans="23:46" s="99" customFormat="1" x14ac:dyDescent="0.25">
      <c r="W392" s="160"/>
      <c r="X392" s="160"/>
      <c r="Y392" s="167"/>
      <c r="Z392" s="167"/>
      <c r="AA392" s="167"/>
      <c r="AB392" s="167"/>
      <c r="AC392" s="167"/>
      <c r="AD392" s="167"/>
      <c r="AE392" s="167"/>
      <c r="AF392" s="167"/>
      <c r="AG392" s="167"/>
      <c r="AH392" s="167"/>
      <c r="AI392" s="167"/>
      <c r="AJ392" s="167"/>
      <c r="AK392" s="167"/>
      <c r="AL392" s="167"/>
      <c r="AM392" s="167"/>
      <c r="AN392" s="167"/>
      <c r="AO392" s="167"/>
      <c r="AP392" s="160"/>
      <c r="AQ392" s="160"/>
      <c r="AR392" s="160"/>
      <c r="AS392" s="160"/>
      <c r="AT392" s="160"/>
    </row>
    <row r="393" spans="23:46" s="99" customFormat="1" x14ac:dyDescent="0.25">
      <c r="W393" s="160"/>
      <c r="X393" s="160"/>
      <c r="Y393" s="167"/>
      <c r="Z393" s="167"/>
      <c r="AA393" s="167"/>
      <c r="AB393" s="167"/>
      <c r="AC393" s="167"/>
      <c r="AD393" s="167"/>
      <c r="AE393" s="167"/>
      <c r="AF393" s="167"/>
      <c r="AG393" s="167"/>
      <c r="AH393" s="167"/>
      <c r="AI393" s="167"/>
      <c r="AJ393" s="167"/>
      <c r="AK393" s="167"/>
      <c r="AL393" s="167"/>
      <c r="AM393" s="167"/>
      <c r="AN393" s="167"/>
      <c r="AO393" s="167"/>
      <c r="AP393" s="160"/>
      <c r="AQ393" s="160"/>
      <c r="AR393" s="160"/>
      <c r="AS393" s="160"/>
      <c r="AT393" s="160"/>
    </row>
    <row r="394" spans="23:46" s="99" customFormat="1" x14ac:dyDescent="0.25">
      <c r="W394" s="160"/>
      <c r="X394" s="160"/>
      <c r="Y394" s="167"/>
      <c r="Z394" s="167"/>
      <c r="AA394" s="167"/>
      <c r="AB394" s="167"/>
      <c r="AC394" s="167"/>
      <c r="AD394" s="167"/>
      <c r="AE394" s="167"/>
      <c r="AF394" s="167"/>
      <c r="AG394" s="167"/>
      <c r="AH394" s="167"/>
      <c r="AI394" s="167"/>
      <c r="AJ394" s="167"/>
      <c r="AK394" s="167"/>
      <c r="AL394" s="167"/>
      <c r="AM394" s="167"/>
      <c r="AN394" s="167"/>
      <c r="AO394" s="167"/>
      <c r="AP394" s="160"/>
      <c r="AQ394" s="160"/>
      <c r="AR394" s="160"/>
      <c r="AS394" s="160"/>
      <c r="AT394" s="160"/>
    </row>
    <row r="395" spans="23:46" s="99" customFormat="1" x14ac:dyDescent="0.25">
      <c r="W395" s="160"/>
      <c r="X395" s="160"/>
      <c r="Y395" s="167"/>
      <c r="Z395" s="167"/>
      <c r="AA395" s="167"/>
      <c r="AB395" s="167"/>
      <c r="AC395" s="167"/>
      <c r="AD395" s="167"/>
      <c r="AE395" s="167"/>
      <c r="AF395" s="167"/>
      <c r="AG395" s="167"/>
      <c r="AH395" s="167"/>
      <c r="AI395" s="167"/>
      <c r="AJ395" s="167"/>
      <c r="AK395" s="167"/>
      <c r="AL395" s="167"/>
      <c r="AM395" s="167"/>
      <c r="AN395" s="167"/>
      <c r="AO395" s="167"/>
      <c r="AP395" s="160"/>
      <c r="AQ395" s="160"/>
      <c r="AR395" s="160"/>
      <c r="AS395" s="160"/>
      <c r="AT395" s="160"/>
    </row>
    <row r="396" spans="23:46" s="99" customFormat="1" x14ac:dyDescent="0.25">
      <c r="W396" s="160"/>
      <c r="X396" s="160"/>
      <c r="Y396" s="167"/>
      <c r="Z396" s="167"/>
      <c r="AA396" s="167"/>
      <c r="AB396" s="167"/>
      <c r="AC396" s="167"/>
      <c r="AD396" s="167"/>
      <c r="AE396" s="167"/>
      <c r="AF396" s="167"/>
      <c r="AG396" s="167"/>
      <c r="AH396" s="167"/>
      <c r="AI396" s="167"/>
      <c r="AJ396" s="167"/>
      <c r="AK396" s="167"/>
      <c r="AL396" s="167"/>
      <c r="AM396" s="167"/>
      <c r="AN396" s="167"/>
      <c r="AO396" s="167"/>
      <c r="AP396" s="160"/>
      <c r="AQ396" s="160"/>
      <c r="AR396" s="160"/>
      <c r="AS396" s="160"/>
      <c r="AT396" s="160"/>
    </row>
    <row r="397" spans="23:46" s="99" customFormat="1" x14ac:dyDescent="0.25">
      <c r="W397" s="160"/>
      <c r="X397" s="160"/>
      <c r="Y397" s="167"/>
      <c r="Z397" s="167"/>
      <c r="AA397" s="167"/>
      <c r="AB397" s="167"/>
      <c r="AC397" s="167"/>
      <c r="AD397" s="167"/>
      <c r="AE397" s="167"/>
      <c r="AF397" s="167"/>
      <c r="AG397" s="167"/>
      <c r="AH397" s="167"/>
      <c r="AI397" s="167"/>
      <c r="AJ397" s="167"/>
      <c r="AK397" s="167"/>
      <c r="AL397" s="167"/>
      <c r="AM397" s="167"/>
      <c r="AN397" s="167"/>
      <c r="AO397" s="167"/>
      <c r="AP397" s="160"/>
      <c r="AQ397" s="160"/>
      <c r="AR397" s="160"/>
      <c r="AS397" s="160"/>
      <c r="AT397" s="160"/>
    </row>
    <row r="398" spans="23:46" s="99" customFormat="1" x14ac:dyDescent="0.25">
      <c r="W398" s="160"/>
      <c r="X398" s="160"/>
      <c r="Y398" s="167"/>
      <c r="Z398" s="167"/>
      <c r="AA398" s="167"/>
      <c r="AB398" s="167"/>
      <c r="AC398" s="167"/>
      <c r="AD398" s="167"/>
      <c r="AE398" s="167"/>
      <c r="AF398" s="167"/>
      <c r="AG398" s="167"/>
      <c r="AH398" s="167"/>
      <c r="AI398" s="167"/>
      <c r="AJ398" s="167"/>
      <c r="AK398" s="167"/>
      <c r="AL398" s="167"/>
      <c r="AM398" s="167"/>
      <c r="AN398" s="167"/>
      <c r="AO398" s="167"/>
      <c r="AP398" s="160"/>
      <c r="AQ398" s="160"/>
      <c r="AR398" s="160"/>
      <c r="AS398" s="160"/>
      <c r="AT398" s="160"/>
    </row>
    <row r="399" spans="23:46" s="99" customFormat="1" x14ac:dyDescent="0.25">
      <c r="W399" s="160"/>
      <c r="X399" s="160"/>
      <c r="Y399" s="167"/>
      <c r="Z399" s="167"/>
      <c r="AA399" s="167"/>
      <c r="AB399" s="167"/>
      <c r="AC399" s="167"/>
      <c r="AD399" s="167"/>
      <c r="AE399" s="167"/>
      <c r="AF399" s="167"/>
      <c r="AG399" s="167"/>
      <c r="AH399" s="167"/>
      <c r="AI399" s="167"/>
      <c r="AJ399" s="167"/>
      <c r="AK399" s="167"/>
      <c r="AL399" s="167"/>
      <c r="AM399" s="167"/>
      <c r="AN399" s="167"/>
      <c r="AO399" s="167"/>
      <c r="AP399" s="160"/>
      <c r="AQ399" s="160"/>
      <c r="AR399" s="160"/>
      <c r="AS399" s="160"/>
      <c r="AT399" s="160"/>
    </row>
    <row r="400" spans="23:46" s="99" customFormat="1" x14ac:dyDescent="0.25">
      <c r="W400" s="160"/>
      <c r="X400" s="160"/>
      <c r="Y400" s="167"/>
      <c r="Z400" s="167"/>
      <c r="AA400" s="167"/>
      <c r="AB400" s="167"/>
      <c r="AC400" s="167"/>
      <c r="AD400" s="167"/>
      <c r="AE400" s="167"/>
      <c r="AF400" s="167"/>
      <c r="AG400" s="167"/>
      <c r="AH400" s="167"/>
      <c r="AI400" s="167"/>
      <c r="AJ400" s="167"/>
      <c r="AK400" s="167"/>
      <c r="AL400" s="167"/>
      <c r="AM400" s="167"/>
      <c r="AN400" s="167"/>
      <c r="AO400" s="167"/>
      <c r="AP400" s="160"/>
      <c r="AQ400" s="160"/>
      <c r="AR400" s="160"/>
      <c r="AS400" s="160"/>
      <c r="AT400" s="160"/>
    </row>
    <row r="401" spans="23:46" s="99" customFormat="1" x14ac:dyDescent="0.25">
      <c r="W401" s="160"/>
      <c r="X401" s="160"/>
      <c r="Y401" s="167"/>
      <c r="Z401" s="167"/>
      <c r="AA401" s="167"/>
      <c r="AB401" s="167"/>
      <c r="AC401" s="167"/>
      <c r="AD401" s="167"/>
      <c r="AE401" s="167"/>
      <c r="AF401" s="167"/>
      <c r="AG401" s="167"/>
      <c r="AH401" s="167"/>
      <c r="AI401" s="167"/>
      <c r="AJ401" s="167"/>
      <c r="AK401" s="167"/>
      <c r="AL401" s="167"/>
      <c r="AM401" s="167"/>
      <c r="AN401" s="167"/>
      <c r="AO401" s="167"/>
      <c r="AP401" s="160"/>
      <c r="AQ401" s="160"/>
      <c r="AR401" s="160"/>
      <c r="AS401" s="160"/>
      <c r="AT401" s="160"/>
    </row>
    <row r="402" spans="23:46" s="99" customFormat="1" x14ac:dyDescent="0.25">
      <c r="W402" s="160"/>
      <c r="X402" s="160"/>
      <c r="Y402" s="167"/>
      <c r="Z402" s="167"/>
      <c r="AA402" s="167"/>
      <c r="AB402" s="167"/>
      <c r="AC402" s="167"/>
      <c r="AD402" s="167"/>
      <c r="AE402" s="167"/>
      <c r="AF402" s="167"/>
      <c r="AG402" s="167"/>
      <c r="AH402" s="167"/>
      <c r="AI402" s="167"/>
      <c r="AJ402" s="167"/>
      <c r="AK402" s="167"/>
      <c r="AL402" s="167"/>
      <c r="AM402" s="167"/>
      <c r="AN402" s="167"/>
      <c r="AO402" s="167"/>
      <c r="AP402" s="160"/>
      <c r="AQ402" s="160"/>
      <c r="AR402" s="160"/>
      <c r="AS402" s="160"/>
      <c r="AT402" s="160"/>
    </row>
    <row r="403" spans="23:46" s="99" customFormat="1" x14ac:dyDescent="0.25">
      <c r="W403" s="160"/>
      <c r="X403" s="160"/>
      <c r="Y403" s="167"/>
      <c r="Z403" s="167"/>
      <c r="AA403" s="167"/>
      <c r="AB403" s="167"/>
      <c r="AC403" s="167"/>
      <c r="AD403" s="167"/>
      <c r="AE403" s="167"/>
      <c r="AF403" s="167"/>
      <c r="AG403" s="167"/>
      <c r="AH403" s="167"/>
      <c r="AI403" s="167"/>
      <c r="AJ403" s="167"/>
      <c r="AK403" s="167"/>
      <c r="AL403" s="167"/>
      <c r="AM403" s="167"/>
      <c r="AN403" s="167"/>
      <c r="AO403" s="167"/>
      <c r="AP403" s="160"/>
      <c r="AQ403" s="160"/>
      <c r="AR403" s="160"/>
      <c r="AS403" s="160"/>
      <c r="AT403" s="160"/>
    </row>
    <row r="404" spans="23:46" s="99" customFormat="1" x14ac:dyDescent="0.25">
      <c r="W404" s="160"/>
      <c r="X404" s="160"/>
      <c r="Y404" s="167"/>
      <c r="Z404" s="167"/>
      <c r="AA404" s="167"/>
      <c r="AB404" s="167"/>
      <c r="AC404" s="167"/>
      <c r="AD404" s="167"/>
      <c r="AE404" s="167"/>
      <c r="AF404" s="167"/>
      <c r="AG404" s="167"/>
      <c r="AH404" s="167"/>
      <c r="AI404" s="167"/>
      <c r="AJ404" s="167"/>
      <c r="AK404" s="167"/>
      <c r="AL404" s="167"/>
      <c r="AM404" s="167"/>
      <c r="AN404" s="167"/>
      <c r="AO404" s="167"/>
      <c r="AP404" s="160"/>
      <c r="AQ404" s="160"/>
      <c r="AR404" s="160"/>
      <c r="AS404" s="160"/>
      <c r="AT404" s="160"/>
    </row>
    <row r="405" spans="23:46" s="99" customFormat="1" x14ac:dyDescent="0.25">
      <c r="W405" s="160"/>
      <c r="X405" s="160"/>
      <c r="Y405" s="167"/>
      <c r="Z405" s="167"/>
      <c r="AA405" s="167"/>
      <c r="AB405" s="167"/>
      <c r="AC405" s="167"/>
      <c r="AD405" s="167"/>
      <c r="AE405" s="167"/>
      <c r="AF405" s="167"/>
      <c r="AG405" s="167"/>
      <c r="AH405" s="167"/>
      <c r="AI405" s="167"/>
      <c r="AJ405" s="167"/>
      <c r="AK405" s="167"/>
      <c r="AL405" s="167"/>
      <c r="AM405" s="167"/>
      <c r="AN405" s="167"/>
      <c r="AO405" s="167"/>
      <c r="AP405" s="160"/>
      <c r="AQ405" s="160"/>
      <c r="AR405" s="160"/>
      <c r="AS405" s="160"/>
      <c r="AT405" s="160"/>
    </row>
    <row r="406" spans="23:46" s="99" customFormat="1" x14ac:dyDescent="0.25">
      <c r="W406" s="160"/>
      <c r="X406" s="160"/>
      <c r="Y406" s="167"/>
      <c r="Z406" s="167"/>
      <c r="AA406" s="167"/>
      <c r="AB406" s="167"/>
      <c r="AC406" s="167"/>
      <c r="AD406" s="167"/>
      <c r="AE406" s="167"/>
      <c r="AF406" s="167"/>
      <c r="AG406" s="167"/>
      <c r="AH406" s="167"/>
      <c r="AI406" s="167"/>
      <c r="AJ406" s="167"/>
      <c r="AK406" s="167"/>
      <c r="AL406" s="167"/>
      <c r="AM406" s="167"/>
      <c r="AN406" s="167"/>
      <c r="AO406" s="167"/>
      <c r="AP406" s="160"/>
      <c r="AQ406" s="160"/>
      <c r="AR406" s="160"/>
      <c r="AS406" s="160"/>
      <c r="AT406" s="160"/>
    </row>
    <row r="407" spans="23:46" s="99" customFormat="1" x14ac:dyDescent="0.25">
      <c r="W407" s="160"/>
      <c r="X407" s="160"/>
      <c r="Y407" s="167"/>
      <c r="Z407" s="167"/>
      <c r="AA407" s="167"/>
      <c r="AB407" s="167"/>
      <c r="AC407" s="167"/>
      <c r="AD407" s="167"/>
      <c r="AE407" s="167"/>
      <c r="AF407" s="167"/>
      <c r="AG407" s="167"/>
      <c r="AH407" s="167"/>
      <c r="AI407" s="167"/>
      <c r="AJ407" s="167"/>
      <c r="AK407" s="167"/>
      <c r="AL407" s="167"/>
      <c r="AM407" s="167"/>
      <c r="AN407" s="167"/>
      <c r="AO407" s="167"/>
      <c r="AP407" s="160"/>
      <c r="AQ407" s="160"/>
      <c r="AR407" s="160"/>
      <c r="AS407" s="160"/>
      <c r="AT407" s="160"/>
    </row>
    <row r="408" spans="23:46" s="99" customFormat="1" x14ac:dyDescent="0.25">
      <c r="W408" s="160"/>
      <c r="X408" s="160"/>
      <c r="Y408" s="167"/>
      <c r="Z408" s="167"/>
      <c r="AA408" s="167"/>
      <c r="AB408" s="167"/>
      <c r="AC408" s="167"/>
      <c r="AD408" s="167"/>
      <c r="AE408" s="167"/>
      <c r="AF408" s="167"/>
      <c r="AG408" s="167"/>
      <c r="AH408" s="167"/>
      <c r="AI408" s="167"/>
      <c r="AJ408" s="167"/>
      <c r="AK408" s="167"/>
      <c r="AL408" s="167"/>
      <c r="AM408" s="167"/>
      <c r="AN408" s="167"/>
      <c r="AO408" s="167"/>
      <c r="AP408" s="160"/>
      <c r="AQ408" s="160"/>
      <c r="AR408" s="160"/>
      <c r="AS408" s="160"/>
      <c r="AT408" s="160"/>
    </row>
    <row r="409" spans="23:46" s="99" customFormat="1" x14ac:dyDescent="0.25">
      <c r="W409" s="160"/>
      <c r="X409" s="160"/>
      <c r="Y409" s="167"/>
      <c r="Z409" s="167"/>
      <c r="AA409" s="167"/>
      <c r="AB409" s="167"/>
      <c r="AC409" s="167"/>
      <c r="AD409" s="167"/>
      <c r="AE409" s="167"/>
      <c r="AF409" s="167"/>
      <c r="AG409" s="167"/>
      <c r="AH409" s="167"/>
      <c r="AI409" s="167"/>
      <c r="AJ409" s="167"/>
      <c r="AK409" s="167"/>
      <c r="AL409" s="167"/>
      <c r="AM409" s="167"/>
      <c r="AN409" s="167"/>
      <c r="AO409" s="167"/>
      <c r="AP409" s="160"/>
      <c r="AQ409" s="160"/>
      <c r="AR409" s="160"/>
      <c r="AS409" s="160"/>
      <c r="AT409" s="160"/>
    </row>
    <row r="410" spans="23:46" s="99" customFormat="1" x14ac:dyDescent="0.25">
      <c r="W410" s="160"/>
      <c r="X410" s="160"/>
      <c r="Y410" s="167"/>
      <c r="Z410" s="167"/>
      <c r="AA410" s="167"/>
      <c r="AB410" s="167"/>
      <c r="AC410" s="167"/>
      <c r="AD410" s="167"/>
      <c r="AE410" s="167"/>
      <c r="AF410" s="167"/>
      <c r="AG410" s="167"/>
      <c r="AH410" s="167"/>
      <c r="AI410" s="167"/>
      <c r="AJ410" s="167"/>
      <c r="AK410" s="167"/>
      <c r="AL410" s="167"/>
      <c r="AM410" s="167"/>
      <c r="AN410" s="167"/>
      <c r="AO410" s="167"/>
      <c r="AP410" s="160"/>
      <c r="AQ410" s="160"/>
      <c r="AR410" s="160"/>
      <c r="AS410" s="160"/>
      <c r="AT410" s="160"/>
    </row>
    <row r="411" spans="23:46" s="99" customFormat="1" x14ac:dyDescent="0.25">
      <c r="W411" s="160"/>
      <c r="X411" s="160"/>
      <c r="Y411" s="167"/>
      <c r="Z411" s="167"/>
      <c r="AA411" s="167"/>
      <c r="AB411" s="167"/>
      <c r="AC411" s="167"/>
      <c r="AD411" s="167"/>
      <c r="AE411" s="167"/>
      <c r="AF411" s="167"/>
      <c r="AG411" s="167"/>
      <c r="AH411" s="167"/>
      <c r="AI411" s="167"/>
      <c r="AJ411" s="167"/>
      <c r="AK411" s="167"/>
      <c r="AL411" s="167"/>
      <c r="AM411" s="167"/>
      <c r="AN411" s="167"/>
      <c r="AO411" s="167"/>
      <c r="AP411" s="160"/>
      <c r="AQ411" s="160"/>
      <c r="AR411" s="160"/>
      <c r="AS411" s="160"/>
      <c r="AT411" s="160"/>
    </row>
    <row r="412" spans="23:46" s="99" customFormat="1" x14ac:dyDescent="0.25">
      <c r="W412" s="160"/>
      <c r="X412" s="160"/>
      <c r="Y412" s="167"/>
      <c r="Z412" s="167"/>
      <c r="AA412" s="167"/>
      <c r="AB412" s="167"/>
      <c r="AC412" s="167"/>
      <c r="AD412" s="167"/>
      <c r="AE412" s="167"/>
      <c r="AF412" s="167"/>
      <c r="AG412" s="167"/>
      <c r="AH412" s="167"/>
      <c r="AI412" s="167"/>
      <c r="AJ412" s="167"/>
      <c r="AK412" s="167"/>
      <c r="AL412" s="167"/>
      <c r="AM412" s="167"/>
      <c r="AN412" s="167"/>
      <c r="AO412" s="167"/>
      <c r="AP412" s="160"/>
      <c r="AQ412" s="160"/>
      <c r="AR412" s="160"/>
      <c r="AS412" s="160"/>
      <c r="AT412" s="160"/>
    </row>
    <row r="413" spans="23:46" s="99" customFormat="1" x14ac:dyDescent="0.25">
      <c r="W413" s="160"/>
      <c r="X413" s="160"/>
      <c r="Y413" s="167"/>
      <c r="Z413" s="167"/>
      <c r="AA413" s="167"/>
      <c r="AB413" s="167"/>
      <c r="AC413" s="167"/>
      <c r="AD413" s="167"/>
      <c r="AE413" s="167"/>
      <c r="AF413" s="167"/>
      <c r="AG413" s="167"/>
      <c r="AH413" s="167"/>
      <c r="AI413" s="167"/>
      <c r="AJ413" s="167"/>
      <c r="AK413" s="167"/>
      <c r="AL413" s="167"/>
      <c r="AM413" s="167"/>
      <c r="AN413" s="167"/>
      <c r="AO413" s="167"/>
      <c r="AP413" s="160"/>
      <c r="AQ413" s="160"/>
      <c r="AR413" s="160"/>
      <c r="AS413" s="160"/>
      <c r="AT413" s="160"/>
    </row>
    <row r="414" spans="23:46" s="99" customFormat="1" x14ac:dyDescent="0.25">
      <c r="W414" s="160"/>
      <c r="X414" s="160"/>
      <c r="Y414" s="167"/>
      <c r="Z414" s="167"/>
      <c r="AA414" s="167"/>
      <c r="AB414" s="167"/>
      <c r="AC414" s="167"/>
      <c r="AD414" s="167"/>
      <c r="AE414" s="167"/>
      <c r="AF414" s="167"/>
      <c r="AG414" s="167"/>
      <c r="AH414" s="167"/>
      <c r="AI414" s="167"/>
      <c r="AJ414" s="167"/>
      <c r="AK414" s="167"/>
      <c r="AL414" s="167"/>
      <c r="AM414" s="167"/>
      <c r="AN414" s="167"/>
      <c r="AO414" s="167"/>
      <c r="AP414" s="160"/>
      <c r="AQ414" s="160"/>
      <c r="AR414" s="160"/>
      <c r="AS414" s="160"/>
      <c r="AT414" s="160"/>
    </row>
    <row r="415" spans="23:46" s="99" customFormat="1" x14ac:dyDescent="0.25">
      <c r="W415" s="160"/>
      <c r="X415" s="160"/>
      <c r="Y415" s="167"/>
      <c r="Z415" s="167"/>
      <c r="AA415" s="167"/>
      <c r="AB415" s="167"/>
      <c r="AC415" s="167"/>
      <c r="AD415" s="167"/>
      <c r="AE415" s="167"/>
      <c r="AF415" s="167"/>
      <c r="AG415" s="167"/>
      <c r="AH415" s="167"/>
      <c r="AI415" s="167"/>
      <c r="AJ415" s="167"/>
      <c r="AK415" s="167"/>
      <c r="AL415" s="167"/>
      <c r="AM415" s="167"/>
      <c r="AN415" s="167"/>
      <c r="AO415" s="167"/>
      <c r="AP415" s="160"/>
      <c r="AQ415" s="160"/>
      <c r="AR415" s="160"/>
      <c r="AS415" s="160"/>
      <c r="AT415" s="160"/>
    </row>
    <row r="416" spans="23:46" s="99" customFormat="1" x14ac:dyDescent="0.25">
      <c r="W416" s="160"/>
      <c r="X416" s="160"/>
      <c r="Y416" s="167"/>
      <c r="Z416" s="167"/>
      <c r="AA416" s="167"/>
      <c r="AB416" s="167"/>
      <c r="AC416" s="167"/>
      <c r="AD416" s="167"/>
      <c r="AE416" s="167"/>
      <c r="AF416" s="167"/>
      <c r="AG416" s="167"/>
      <c r="AH416" s="167"/>
      <c r="AI416" s="167"/>
      <c r="AJ416" s="167"/>
      <c r="AK416" s="167"/>
      <c r="AL416" s="167"/>
      <c r="AM416" s="167"/>
      <c r="AN416" s="167"/>
      <c r="AO416" s="167"/>
      <c r="AP416" s="160"/>
      <c r="AQ416" s="160"/>
      <c r="AR416" s="160"/>
      <c r="AS416" s="160"/>
      <c r="AT416" s="160"/>
    </row>
    <row r="417" spans="23:46" s="99" customFormat="1" x14ac:dyDescent="0.25">
      <c r="W417" s="160"/>
      <c r="X417" s="160"/>
      <c r="Y417" s="167"/>
      <c r="Z417" s="167"/>
      <c r="AA417" s="167"/>
      <c r="AB417" s="167"/>
      <c r="AC417" s="167"/>
      <c r="AD417" s="167"/>
      <c r="AE417" s="167"/>
      <c r="AF417" s="167"/>
      <c r="AG417" s="167"/>
      <c r="AH417" s="167"/>
      <c r="AI417" s="167"/>
      <c r="AJ417" s="167"/>
      <c r="AK417" s="167"/>
      <c r="AL417" s="167"/>
      <c r="AM417" s="167"/>
      <c r="AN417" s="167"/>
      <c r="AO417" s="167"/>
      <c r="AP417" s="160"/>
      <c r="AQ417" s="160"/>
      <c r="AR417" s="160"/>
      <c r="AS417" s="160"/>
      <c r="AT417" s="160"/>
    </row>
    <row r="418" spans="23:46" s="99" customFormat="1" x14ac:dyDescent="0.25">
      <c r="W418" s="160"/>
      <c r="X418" s="160"/>
      <c r="Y418" s="167"/>
      <c r="Z418" s="167"/>
      <c r="AA418" s="167"/>
      <c r="AB418" s="167"/>
      <c r="AC418" s="167"/>
      <c r="AD418" s="167"/>
      <c r="AE418" s="167"/>
      <c r="AF418" s="167"/>
      <c r="AG418" s="167"/>
      <c r="AH418" s="167"/>
      <c r="AI418" s="167"/>
      <c r="AJ418" s="167"/>
      <c r="AK418" s="167"/>
      <c r="AL418" s="167"/>
      <c r="AM418" s="167"/>
      <c r="AN418" s="167"/>
      <c r="AO418" s="167"/>
      <c r="AP418" s="160"/>
      <c r="AQ418" s="160"/>
      <c r="AR418" s="160"/>
      <c r="AS418" s="160"/>
      <c r="AT418" s="160"/>
    </row>
    <row r="419" spans="23:46" s="99" customFormat="1" x14ac:dyDescent="0.25">
      <c r="W419" s="160"/>
      <c r="X419" s="160"/>
      <c r="Y419" s="167"/>
      <c r="Z419" s="167"/>
      <c r="AA419" s="167"/>
      <c r="AB419" s="167"/>
      <c r="AC419" s="167"/>
      <c r="AD419" s="167"/>
      <c r="AE419" s="167"/>
      <c r="AF419" s="167"/>
      <c r="AG419" s="167"/>
      <c r="AH419" s="167"/>
      <c r="AI419" s="167"/>
      <c r="AJ419" s="167"/>
      <c r="AK419" s="167"/>
      <c r="AL419" s="167"/>
      <c r="AM419" s="167"/>
      <c r="AN419" s="167"/>
      <c r="AO419" s="167"/>
      <c r="AP419" s="160"/>
      <c r="AQ419" s="160"/>
      <c r="AR419" s="160"/>
      <c r="AS419" s="160"/>
      <c r="AT419" s="160"/>
    </row>
    <row r="420" spans="23:46" s="99" customFormat="1" x14ac:dyDescent="0.25">
      <c r="W420" s="160"/>
      <c r="X420" s="160"/>
      <c r="Y420" s="167"/>
      <c r="Z420" s="167"/>
      <c r="AA420" s="167"/>
      <c r="AB420" s="167"/>
      <c r="AC420" s="167"/>
      <c r="AD420" s="167"/>
      <c r="AE420" s="167"/>
      <c r="AF420" s="167"/>
      <c r="AG420" s="167"/>
      <c r="AH420" s="167"/>
      <c r="AI420" s="167"/>
      <c r="AJ420" s="167"/>
      <c r="AK420" s="167"/>
      <c r="AL420" s="167"/>
      <c r="AM420" s="167"/>
      <c r="AN420" s="167"/>
      <c r="AO420" s="167"/>
      <c r="AP420" s="160"/>
      <c r="AQ420" s="160"/>
      <c r="AR420" s="160"/>
      <c r="AS420" s="160"/>
      <c r="AT420" s="160"/>
    </row>
    <row r="421" spans="23:46" s="99" customFormat="1" x14ac:dyDescent="0.25">
      <c r="W421" s="160"/>
      <c r="X421" s="160"/>
      <c r="Y421" s="167"/>
      <c r="Z421" s="167"/>
      <c r="AA421" s="167"/>
      <c r="AB421" s="167"/>
      <c r="AC421" s="167"/>
      <c r="AD421" s="167"/>
      <c r="AE421" s="167"/>
      <c r="AF421" s="167"/>
      <c r="AG421" s="167"/>
      <c r="AH421" s="167"/>
      <c r="AI421" s="167"/>
      <c r="AJ421" s="167"/>
      <c r="AK421" s="167"/>
      <c r="AL421" s="167"/>
      <c r="AM421" s="167"/>
      <c r="AN421" s="167"/>
      <c r="AO421" s="167"/>
      <c r="AP421" s="160"/>
      <c r="AQ421" s="160"/>
      <c r="AR421" s="160"/>
      <c r="AS421" s="160"/>
      <c r="AT421" s="160"/>
    </row>
    <row r="422" spans="23:46" s="99" customFormat="1" x14ac:dyDescent="0.25">
      <c r="W422" s="160"/>
      <c r="X422" s="160"/>
      <c r="Y422" s="167"/>
      <c r="Z422" s="167"/>
      <c r="AA422" s="167"/>
      <c r="AB422" s="167"/>
      <c r="AC422" s="167"/>
      <c r="AD422" s="167"/>
      <c r="AE422" s="167"/>
      <c r="AF422" s="167"/>
      <c r="AG422" s="167"/>
      <c r="AH422" s="167"/>
      <c r="AI422" s="167"/>
      <c r="AJ422" s="167"/>
      <c r="AK422" s="167"/>
      <c r="AL422" s="167"/>
      <c r="AM422" s="167"/>
      <c r="AN422" s="167"/>
      <c r="AO422" s="167"/>
      <c r="AP422" s="160"/>
      <c r="AQ422" s="160"/>
      <c r="AR422" s="160"/>
      <c r="AS422" s="160"/>
      <c r="AT422" s="160"/>
    </row>
    <row r="423" spans="23:46" s="99" customFormat="1" x14ac:dyDescent="0.25">
      <c r="W423" s="160"/>
      <c r="X423" s="160"/>
      <c r="Y423" s="167"/>
      <c r="Z423" s="167"/>
      <c r="AA423" s="167"/>
      <c r="AB423" s="167"/>
      <c r="AC423" s="167"/>
      <c r="AD423" s="167"/>
      <c r="AE423" s="167"/>
      <c r="AF423" s="167"/>
      <c r="AG423" s="167"/>
      <c r="AH423" s="167"/>
      <c r="AI423" s="167"/>
      <c r="AJ423" s="167"/>
      <c r="AK423" s="167"/>
      <c r="AL423" s="167"/>
      <c r="AM423" s="167"/>
      <c r="AN423" s="167"/>
      <c r="AO423" s="167"/>
      <c r="AP423" s="160"/>
      <c r="AQ423" s="160"/>
      <c r="AR423" s="160"/>
      <c r="AS423" s="160"/>
      <c r="AT423" s="160"/>
    </row>
    <row r="424" spans="23:46" s="99" customFormat="1" x14ac:dyDescent="0.25">
      <c r="W424" s="160"/>
      <c r="X424" s="160"/>
      <c r="Y424" s="167"/>
      <c r="Z424" s="167"/>
      <c r="AA424" s="167"/>
      <c r="AB424" s="167"/>
      <c r="AC424" s="167"/>
      <c r="AD424" s="167"/>
      <c r="AE424" s="167"/>
      <c r="AF424" s="167"/>
      <c r="AG424" s="167"/>
      <c r="AH424" s="167"/>
      <c r="AI424" s="167"/>
      <c r="AJ424" s="167"/>
      <c r="AK424" s="167"/>
      <c r="AL424" s="167"/>
      <c r="AM424" s="167"/>
      <c r="AN424" s="167"/>
      <c r="AO424" s="167"/>
      <c r="AP424" s="160"/>
      <c r="AQ424" s="160"/>
      <c r="AR424" s="160"/>
      <c r="AS424" s="160"/>
      <c r="AT424" s="160"/>
    </row>
    <row r="425" spans="23:46" s="99" customFormat="1" x14ac:dyDescent="0.25">
      <c r="W425" s="160"/>
      <c r="X425" s="160"/>
      <c r="Y425" s="167"/>
      <c r="Z425" s="167"/>
      <c r="AA425" s="167"/>
      <c r="AB425" s="167"/>
      <c r="AC425" s="167"/>
      <c r="AD425" s="167"/>
      <c r="AE425" s="167"/>
      <c r="AF425" s="167"/>
      <c r="AG425" s="167"/>
      <c r="AH425" s="167"/>
      <c r="AI425" s="167"/>
      <c r="AJ425" s="167"/>
      <c r="AK425" s="167"/>
      <c r="AL425" s="167"/>
      <c r="AM425" s="167"/>
      <c r="AN425" s="167"/>
      <c r="AO425" s="167"/>
      <c r="AP425" s="160"/>
      <c r="AQ425" s="160"/>
      <c r="AR425" s="160"/>
      <c r="AS425" s="160"/>
      <c r="AT425" s="160"/>
    </row>
    <row r="426" spans="23:46" s="99" customFormat="1" x14ac:dyDescent="0.25">
      <c r="W426" s="160"/>
      <c r="X426" s="160"/>
      <c r="Y426" s="167"/>
      <c r="Z426" s="167"/>
      <c r="AA426" s="167"/>
      <c r="AB426" s="167"/>
      <c r="AC426" s="167"/>
      <c r="AD426" s="167"/>
      <c r="AE426" s="167"/>
      <c r="AF426" s="167"/>
      <c r="AG426" s="167"/>
      <c r="AH426" s="167"/>
      <c r="AI426" s="167"/>
      <c r="AJ426" s="167"/>
      <c r="AK426" s="167"/>
      <c r="AL426" s="167"/>
      <c r="AM426" s="167"/>
      <c r="AN426" s="167"/>
      <c r="AO426" s="167"/>
      <c r="AP426" s="160"/>
      <c r="AQ426" s="160"/>
      <c r="AR426" s="160"/>
      <c r="AS426" s="160"/>
      <c r="AT426" s="160"/>
    </row>
    <row r="427" spans="23:46" s="99" customFormat="1" x14ac:dyDescent="0.25">
      <c r="W427" s="160"/>
      <c r="X427" s="160"/>
      <c r="Y427" s="167"/>
      <c r="Z427" s="167"/>
      <c r="AA427" s="167"/>
      <c r="AB427" s="167"/>
      <c r="AC427" s="167"/>
      <c r="AD427" s="167"/>
      <c r="AE427" s="167"/>
      <c r="AF427" s="167"/>
      <c r="AG427" s="167"/>
      <c r="AH427" s="167"/>
      <c r="AI427" s="167"/>
      <c r="AJ427" s="167"/>
      <c r="AK427" s="167"/>
      <c r="AL427" s="167"/>
      <c r="AM427" s="167"/>
      <c r="AN427" s="167"/>
      <c r="AO427" s="167"/>
      <c r="AP427" s="160"/>
      <c r="AQ427" s="160"/>
      <c r="AR427" s="160"/>
      <c r="AS427" s="160"/>
      <c r="AT427" s="160"/>
    </row>
    <row r="428" spans="23:46" s="99" customFormat="1" x14ac:dyDescent="0.25">
      <c r="W428" s="160"/>
      <c r="X428" s="160"/>
      <c r="Y428" s="167"/>
      <c r="Z428" s="167"/>
      <c r="AA428" s="167"/>
      <c r="AB428" s="167"/>
      <c r="AC428" s="167"/>
      <c r="AD428" s="167"/>
      <c r="AE428" s="167"/>
      <c r="AF428" s="167"/>
      <c r="AG428" s="167"/>
      <c r="AH428" s="167"/>
      <c r="AI428" s="167"/>
      <c r="AJ428" s="167"/>
      <c r="AK428" s="167"/>
      <c r="AL428" s="167"/>
      <c r="AM428" s="167"/>
      <c r="AN428" s="167"/>
      <c r="AO428" s="167"/>
      <c r="AP428" s="160"/>
      <c r="AQ428" s="160"/>
      <c r="AR428" s="160"/>
      <c r="AS428" s="160"/>
      <c r="AT428" s="160"/>
    </row>
    <row r="429" spans="23:46" s="99" customFormat="1" x14ac:dyDescent="0.25">
      <c r="W429" s="160"/>
      <c r="X429" s="160"/>
      <c r="Y429" s="167"/>
      <c r="Z429" s="167"/>
      <c r="AA429" s="167"/>
      <c r="AB429" s="167"/>
      <c r="AC429" s="167"/>
      <c r="AD429" s="167"/>
      <c r="AE429" s="167"/>
      <c r="AF429" s="167"/>
      <c r="AG429" s="167"/>
      <c r="AH429" s="167"/>
      <c r="AI429" s="167"/>
      <c r="AJ429" s="167"/>
      <c r="AK429" s="167"/>
      <c r="AL429" s="167"/>
      <c r="AM429" s="167"/>
      <c r="AN429" s="167"/>
      <c r="AO429" s="167"/>
      <c r="AP429" s="160"/>
      <c r="AQ429" s="160"/>
      <c r="AR429" s="160"/>
      <c r="AS429" s="160"/>
      <c r="AT429" s="160"/>
    </row>
    <row r="430" spans="23:46" s="99" customFormat="1" x14ac:dyDescent="0.25">
      <c r="W430" s="160"/>
      <c r="X430" s="160"/>
      <c r="Y430" s="167"/>
      <c r="Z430" s="167"/>
      <c r="AA430" s="167"/>
      <c r="AB430" s="167"/>
      <c r="AC430" s="167"/>
      <c r="AD430" s="167"/>
      <c r="AE430" s="167"/>
      <c r="AF430" s="167"/>
      <c r="AG430" s="167"/>
      <c r="AH430" s="167"/>
      <c r="AI430" s="167"/>
      <c r="AJ430" s="167"/>
      <c r="AK430" s="167"/>
      <c r="AL430" s="167"/>
      <c r="AM430" s="167"/>
      <c r="AN430" s="167"/>
      <c r="AO430" s="167"/>
      <c r="AP430" s="160"/>
      <c r="AQ430" s="160"/>
      <c r="AR430" s="160"/>
      <c r="AS430" s="160"/>
      <c r="AT430" s="160"/>
    </row>
    <row r="431" spans="23:46" s="99" customFormat="1" x14ac:dyDescent="0.25">
      <c r="W431" s="160"/>
      <c r="X431" s="160"/>
      <c r="Y431" s="167"/>
      <c r="Z431" s="167"/>
      <c r="AA431" s="167"/>
      <c r="AB431" s="167"/>
      <c r="AC431" s="167"/>
      <c r="AD431" s="167"/>
      <c r="AE431" s="167"/>
      <c r="AF431" s="167"/>
      <c r="AG431" s="167"/>
      <c r="AH431" s="167"/>
      <c r="AI431" s="167"/>
      <c r="AJ431" s="167"/>
      <c r="AK431" s="167"/>
      <c r="AL431" s="167"/>
      <c r="AM431" s="167"/>
      <c r="AN431" s="167"/>
      <c r="AO431" s="167"/>
      <c r="AP431" s="160"/>
      <c r="AQ431" s="160"/>
      <c r="AR431" s="160"/>
      <c r="AS431" s="160"/>
      <c r="AT431" s="160"/>
    </row>
    <row r="432" spans="23:46" s="99" customFormat="1" x14ac:dyDescent="0.25">
      <c r="W432" s="160"/>
      <c r="X432" s="160"/>
      <c r="Y432" s="167"/>
      <c r="Z432" s="167"/>
      <c r="AA432" s="167"/>
      <c r="AB432" s="167"/>
      <c r="AC432" s="167"/>
      <c r="AD432" s="167"/>
      <c r="AE432" s="167"/>
      <c r="AF432" s="167"/>
      <c r="AG432" s="167"/>
      <c r="AH432" s="167"/>
      <c r="AI432" s="167"/>
      <c r="AJ432" s="167"/>
      <c r="AK432" s="167"/>
      <c r="AL432" s="167"/>
      <c r="AM432" s="167"/>
      <c r="AN432" s="167"/>
      <c r="AO432" s="167"/>
      <c r="AP432" s="160"/>
      <c r="AQ432" s="160"/>
      <c r="AR432" s="160"/>
      <c r="AS432" s="160"/>
      <c r="AT432" s="160"/>
    </row>
    <row r="433" spans="23:46" s="99" customFormat="1" x14ac:dyDescent="0.25">
      <c r="W433" s="160"/>
      <c r="X433" s="160"/>
      <c r="Y433" s="167"/>
      <c r="Z433" s="167"/>
      <c r="AA433" s="167"/>
      <c r="AB433" s="167"/>
      <c r="AC433" s="167"/>
      <c r="AD433" s="167"/>
      <c r="AE433" s="167"/>
      <c r="AF433" s="167"/>
      <c r="AG433" s="167"/>
      <c r="AH433" s="167"/>
      <c r="AI433" s="167"/>
      <c r="AJ433" s="167"/>
      <c r="AK433" s="167"/>
      <c r="AL433" s="167"/>
      <c r="AM433" s="167"/>
      <c r="AN433" s="167"/>
      <c r="AO433" s="167"/>
      <c r="AP433" s="160"/>
      <c r="AQ433" s="160"/>
      <c r="AR433" s="160"/>
      <c r="AS433" s="160"/>
      <c r="AT433" s="160"/>
    </row>
    <row r="434" spans="23:46" s="99" customFormat="1" x14ac:dyDescent="0.25">
      <c r="W434" s="160"/>
      <c r="X434" s="160"/>
      <c r="Y434" s="167"/>
      <c r="Z434" s="167"/>
      <c r="AA434" s="167"/>
      <c r="AB434" s="167"/>
      <c r="AC434" s="167"/>
      <c r="AD434" s="167"/>
      <c r="AE434" s="167"/>
      <c r="AF434" s="167"/>
      <c r="AG434" s="167"/>
      <c r="AH434" s="167"/>
      <c r="AI434" s="167"/>
      <c r="AJ434" s="167"/>
      <c r="AK434" s="167"/>
      <c r="AL434" s="167"/>
      <c r="AM434" s="167"/>
      <c r="AN434" s="167"/>
      <c r="AO434" s="167"/>
      <c r="AP434" s="160"/>
      <c r="AQ434" s="160"/>
      <c r="AR434" s="160"/>
      <c r="AS434" s="160"/>
      <c r="AT434" s="160"/>
    </row>
    <row r="435" spans="23:46" s="99" customFormat="1" x14ac:dyDescent="0.25">
      <c r="W435" s="160"/>
      <c r="X435" s="160"/>
      <c r="Y435" s="167"/>
      <c r="Z435" s="167"/>
      <c r="AA435" s="167"/>
      <c r="AB435" s="167"/>
      <c r="AC435" s="167"/>
      <c r="AD435" s="167"/>
      <c r="AE435" s="167"/>
      <c r="AF435" s="167"/>
      <c r="AG435" s="167"/>
      <c r="AH435" s="167"/>
      <c r="AI435" s="167"/>
      <c r="AJ435" s="167"/>
      <c r="AK435" s="167"/>
      <c r="AL435" s="167"/>
      <c r="AM435" s="167"/>
      <c r="AN435" s="167"/>
      <c r="AO435" s="167"/>
      <c r="AP435" s="160"/>
      <c r="AQ435" s="160"/>
      <c r="AR435" s="160"/>
      <c r="AS435" s="160"/>
      <c r="AT435" s="160"/>
    </row>
    <row r="436" spans="23:46" s="99" customFormat="1" x14ac:dyDescent="0.25">
      <c r="W436" s="160"/>
      <c r="X436" s="160"/>
      <c r="Y436" s="167"/>
      <c r="Z436" s="167"/>
      <c r="AA436" s="167"/>
      <c r="AB436" s="167"/>
      <c r="AC436" s="167"/>
      <c r="AD436" s="167"/>
      <c r="AE436" s="167"/>
      <c r="AF436" s="167"/>
      <c r="AG436" s="167"/>
      <c r="AH436" s="167"/>
      <c r="AI436" s="167"/>
      <c r="AJ436" s="167"/>
      <c r="AK436" s="167"/>
      <c r="AL436" s="167"/>
      <c r="AM436" s="167"/>
      <c r="AN436" s="167"/>
      <c r="AO436" s="167"/>
      <c r="AP436" s="160"/>
      <c r="AQ436" s="160"/>
      <c r="AR436" s="160"/>
      <c r="AS436" s="160"/>
      <c r="AT436" s="160"/>
    </row>
    <row r="437" spans="23:46" s="99" customFormat="1" x14ac:dyDescent="0.25">
      <c r="W437" s="160"/>
      <c r="X437" s="160"/>
      <c r="Y437" s="167"/>
      <c r="Z437" s="167"/>
      <c r="AA437" s="167"/>
      <c r="AB437" s="167"/>
      <c r="AC437" s="167"/>
      <c r="AD437" s="167"/>
      <c r="AE437" s="167"/>
      <c r="AF437" s="167"/>
      <c r="AG437" s="167"/>
      <c r="AH437" s="167"/>
      <c r="AI437" s="167"/>
      <c r="AJ437" s="167"/>
      <c r="AK437" s="167"/>
      <c r="AL437" s="167"/>
      <c r="AM437" s="167"/>
      <c r="AN437" s="167"/>
      <c r="AO437" s="167"/>
      <c r="AP437" s="160"/>
      <c r="AQ437" s="160"/>
      <c r="AR437" s="160"/>
      <c r="AS437" s="160"/>
      <c r="AT437" s="160"/>
    </row>
    <row r="438" spans="23:46" s="99" customFormat="1" x14ac:dyDescent="0.25">
      <c r="W438" s="160"/>
      <c r="X438" s="160"/>
      <c r="Y438" s="167"/>
      <c r="Z438" s="167"/>
      <c r="AA438" s="167"/>
      <c r="AB438" s="167"/>
      <c r="AC438" s="167"/>
      <c r="AD438" s="167"/>
      <c r="AE438" s="167"/>
      <c r="AF438" s="167"/>
      <c r="AG438" s="167"/>
      <c r="AH438" s="167"/>
      <c r="AI438" s="167"/>
      <c r="AJ438" s="167"/>
      <c r="AK438" s="167"/>
      <c r="AL438" s="167"/>
      <c r="AM438" s="167"/>
      <c r="AN438" s="167"/>
      <c r="AO438" s="167"/>
      <c r="AP438" s="160"/>
      <c r="AQ438" s="160"/>
      <c r="AR438" s="160"/>
      <c r="AS438" s="160"/>
      <c r="AT438" s="160"/>
    </row>
    <row r="439" spans="23:46" s="99" customFormat="1" x14ac:dyDescent="0.25">
      <c r="W439" s="160"/>
      <c r="X439" s="160"/>
      <c r="Y439" s="167"/>
      <c r="Z439" s="167"/>
      <c r="AA439" s="167"/>
      <c r="AB439" s="167"/>
      <c r="AC439" s="167"/>
      <c r="AD439" s="167"/>
      <c r="AE439" s="167"/>
      <c r="AF439" s="167"/>
      <c r="AG439" s="167"/>
      <c r="AH439" s="167"/>
      <c r="AI439" s="167"/>
      <c r="AJ439" s="167"/>
      <c r="AK439" s="167"/>
      <c r="AL439" s="167"/>
      <c r="AM439" s="167"/>
      <c r="AN439" s="167"/>
      <c r="AO439" s="167"/>
      <c r="AP439" s="160"/>
      <c r="AQ439" s="160"/>
      <c r="AR439" s="160"/>
      <c r="AS439" s="160"/>
      <c r="AT439" s="160"/>
    </row>
    <row r="440" spans="23:46" s="99" customFormat="1" x14ac:dyDescent="0.25">
      <c r="W440" s="160"/>
      <c r="X440" s="160"/>
      <c r="Y440" s="167"/>
      <c r="Z440" s="167"/>
      <c r="AA440" s="167"/>
      <c r="AB440" s="167"/>
      <c r="AC440" s="167"/>
      <c r="AD440" s="167"/>
      <c r="AE440" s="167"/>
      <c r="AF440" s="167"/>
      <c r="AG440" s="167"/>
      <c r="AH440" s="167"/>
      <c r="AI440" s="167"/>
      <c r="AJ440" s="167"/>
      <c r="AK440" s="167"/>
      <c r="AL440" s="167"/>
      <c r="AM440" s="167"/>
      <c r="AN440" s="167"/>
      <c r="AO440" s="167"/>
      <c r="AP440" s="160"/>
      <c r="AQ440" s="160"/>
      <c r="AR440" s="160"/>
      <c r="AS440" s="160"/>
      <c r="AT440" s="160"/>
    </row>
    <row r="441" spans="23:46" s="99" customFormat="1" x14ac:dyDescent="0.25">
      <c r="W441" s="160"/>
      <c r="X441" s="160"/>
      <c r="Y441" s="167"/>
      <c r="Z441" s="167"/>
      <c r="AA441" s="167"/>
      <c r="AB441" s="167"/>
      <c r="AC441" s="167"/>
      <c r="AD441" s="167"/>
      <c r="AE441" s="167"/>
      <c r="AF441" s="167"/>
      <c r="AG441" s="167"/>
      <c r="AH441" s="167"/>
      <c r="AI441" s="167"/>
      <c r="AJ441" s="167"/>
      <c r="AK441" s="167"/>
      <c r="AL441" s="167"/>
      <c r="AM441" s="167"/>
      <c r="AN441" s="167"/>
      <c r="AO441" s="167"/>
      <c r="AP441" s="160"/>
      <c r="AQ441" s="160"/>
      <c r="AR441" s="160"/>
      <c r="AS441" s="160"/>
      <c r="AT441" s="160"/>
    </row>
    <row r="442" spans="23:46" s="99" customFormat="1" x14ac:dyDescent="0.25">
      <c r="W442" s="160"/>
      <c r="X442" s="160"/>
      <c r="Y442" s="167"/>
      <c r="Z442" s="167"/>
      <c r="AA442" s="167"/>
      <c r="AB442" s="167"/>
      <c r="AC442" s="167"/>
      <c r="AD442" s="167"/>
      <c r="AE442" s="167"/>
      <c r="AF442" s="167"/>
      <c r="AG442" s="167"/>
      <c r="AH442" s="167"/>
      <c r="AI442" s="167"/>
      <c r="AJ442" s="167"/>
      <c r="AK442" s="167"/>
      <c r="AL442" s="167"/>
      <c r="AM442" s="167"/>
      <c r="AN442" s="167"/>
      <c r="AO442" s="167"/>
      <c r="AP442" s="160"/>
      <c r="AQ442" s="160"/>
      <c r="AR442" s="160"/>
      <c r="AS442" s="160"/>
      <c r="AT442" s="160"/>
    </row>
    <row r="443" spans="23:46" s="99" customFormat="1" x14ac:dyDescent="0.25">
      <c r="W443" s="160"/>
      <c r="X443" s="160"/>
      <c r="Y443" s="167"/>
      <c r="Z443" s="167"/>
      <c r="AA443" s="167"/>
      <c r="AB443" s="167"/>
      <c r="AC443" s="167"/>
      <c r="AD443" s="167"/>
      <c r="AE443" s="167"/>
      <c r="AF443" s="167"/>
      <c r="AG443" s="167"/>
      <c r="AH443" s="167"/>
      <c r="AI443" s="167"/>
      <c r="AJ443" s="167"/>
      <c r="AK443" s="167"/>
      <c r="AL443" s="167"/>
      <c r="AM443" s="167"/>
      <c r="AN443" s="167"/>
      <c r="AO443" s="167"/>
      <c r="AP443" s="160"/>
      <c r="AQ443" s="160"/>
      <c r="AR443" s="160"/>
      <c r="AS443" s="160"/>
      <c r="AT443" s="160"/>
    </row>
    <row r="444" spans="23:46" s="99" customFormat="1" x14ac:dyDescent="0.25">
      <c r="W444" s="160"/>
      <c r="X444" s="160"/>
      <c r="Y444" s="167"/>
      <c r="Z444" s="167"/>
      <c r="AA444" s="167"/>
      <c r="AB444" s="167"/>
      <c r="AC444" s="167"/>
      <c r="AD444" s="167"/>
      <c r="AE444" s="167"/>
      <c r="AF444" s="167"/>
      <c r="AG444" s="167"/>
      <c r="AH444" s="167"/>
      <c r="AI444" s="167"/>
      <c r="AJ444" s="167"/>
      <c r="AK444" s="167"/>
      <c r="AL444" s="167"/>
      <c r="AM444" s="167"/>
      <c r="AN444" s="167"/>
      <c r="AO444" s="167"/>
      <c r="AP444" s="160"/>
      <c r="AQ444" s="160"/>
      <c r="AR444" s="160"/>
      <c r="AS444" s="160"/>
      <c r="AT444" s="160"/>
    </row>
    <row r="445" spans="23:46" s="99" customFormat="1" x14ac:dyDescent="0.25">
      <c r="W445" s="160"/>
      <c r="X445" s="160"/>
      <c r="Y445" s="167"/>
      <c r="Z445" s="167"/>
      <c r="AA445" s="167"/>
      <c r="AB445" s="167"/>
      <c r="AC445" s="167"/>
      <c r="AD445" s="167"/>
      <c r="AE445" s="167"/>
      <c r="AF445" s="167"/>
      <c r="AG445" s="167"/>
      <c r="AH445" s="167"/>
      <c r="AI445" s="167"/>
      <c r="AJ445" s="167"/>
      <c r="AK445" s="167"/>
      <c r="AL445" s="167"/>
      <c r="AM445" s="167"/>
      <c r="AN445" s="167"/>
      <c r="AO445" s="167"/>
      <c r="AP445" s="160"/>
      <c r="AQ445" s="160"/>
      <c r="AR445" s="160"/>
      <c r="AS445" s="160"/>
      <c r="AT445" s="160"/>
    </row>
    <row r="446" spans="23:46" s="99" customFormat="1" x14ac:dyDescent="0.25">
      <c r="W446" s="160"/>
      <c r="X446" s="160"/>
      <c r="Y446" s="167"/>
      <c r="Z446" s="167"/>
      <c r="AA446" s="167"/>
      <c r="AB446" s="167"/>
      <c r="AC446" s="167"/>
      <c r="AD446" s="167"/>
      <c r="AE446" s="167"/>
      <c r="AF446" s="167"/>
      <c r="AG446" s="167"/>
      <c r="AH446" s="167"/>
      <c r="AI446" s="167"/>
      <c r="AJ446" s="167"/>
      <c r="AK446" s="167"/>
      <c r="AL446" s="167"/>
      <c r="AM446" s="167"/>
      <c r="AN446" s="167"/>
      <c r="AO446" s="167"/>
      <c r="AP446" s="160"/>
      <c r="AQ446" s="160"/>
      <c r="AR446" s="160"/>
      <c r="AS446" s="160"/>
      <c r="AT446" s="160"/>
    </row>
    <row r="447" spans="23:46" s="99" customFormat="1" x14ac:dyDescent="0.25">
      <c r="W447" s="160"/>
      <c r="X447" s="160"/>
      <c r="Y447" s="167"/>
      <c r="Z447" s="167"/>
      <c r="AA447" s="167"/>
      <c r="AB447" s="167"/>
      <c r="AC447" s="167"/>
      <c r="AD447" s="167"/>
      <c r="AE447" s="167"/>
      <c r="AF447" s="167"/>
      <c r="AG447" s="167"/>
      <c r="AH447" s="167"/>
      <c r="AI447" s="167"/>
      <c r="AJ447" s="167"/>
      <c r="AK447" s="167"/>
      <c r="AL447" s="167"/>
      <c r="AM447" s="167"/>
      <c r="AN447" s="167"/>
      <c r="AO447" s="167"/>
      <c r="AP447" s="160"/>
      <c r="AQ447" s="160"/>
      <c r="AR447" s="160"/>
      <c r="AS447" s="160"/>
      <c r="AT447" s="160"/>
    </row>
    <row r="448" spans="23:46" s="99" customFormat="1" x14ac:dyDescent="0.25">
      <c r="W448" s="160"/>
      <c r="X448" s="160"/>
      <c r="Y448" s="167"/>
      <c r="Z448" s="167"/>
      <c r="AA448" s="167"/>
      <c r="AB448" s="167"/>
      <c r="AC448" s="167"/>
      <c r="AD448" s="167"/>
      <c r="AE448" s="167"/>
      <c r="AF448" s="167"/>
      <c r="AG448" s="167"/>
      <c r="AH448" s="167"/>
      <c r="AI448" s="167"/>
      <c r="AJ448" s="167"/>
      <c r="AK448" s="167"/>
      <c r="AL448" s="167"/>
      <c r="AM448" s="167"/>
      <c r="AN448" s="167"/>
      <c r="AO448" s="167"/>
      <c r="AP448" s="160"/>
      <c r="AQ448" s="160"/>
      <c r="AR448" s="160"/>
      <c r="AS448" s="160"/>
      <c r="AT448" s="160"/>
    </row>
    <row r="449" spans="23:46" s="99" customFormat="1" x14ac:dyDescent="0.25">
      <c r="W449" s="160"/>
      <c r="X449" s="160"/>
      <c r="Y449" s="167"/>
      <c r="Z449" s="167"/>
      <c r="AA449" s="167"/>
      <c r="AB449" s="167"/>
      <c r="AC449" s="167"/>
      <c r="AD449" s="167"/>
      <c r="AE449" s="167"/>
      <c r="AF449" s="167"/>
      <c r="AG449" s="167"/>
      <c r="AH449" s="167"/>
      <c r="AI449" s="167"/>
      <c r="AJ449" s="167"/>
      <c r="AK449" s="167"/>
      <c r="AL449" s="167"/>
      <c r="AM449" s="167"/>
      <c r="AN449" s="167"/>
      <c r="AO449" s="167"/>
      <c r="AP449" s="160"/>
      <c r="AQ449" s="160"/>
      <c r="AR449" s="160"/>
      <c r="AS449" s="160"/>
      <c r="AT449" s="160"/>
    </row>
    <row r="450" spans="23:46" s="99" customFormat="1" x14ac:dyDescent="0.25">
      <c r="W450" s="160"/>
      <c r="X450" s="160"/>
      <c r="Y450" s="167"/>
      <c r="Z450" s="167"/>
      <c r="AA450" s="167"/>
      <c r="AB450" s="167"/>
      <c r="AC450" s="167"/>
      <c r="AD450" s="167"/>
      <c r="AE450" s="167"/>
      <c r="AF450" s="167"/>
      <c r="AG450" s="167"/>
      <c r="AH450" s="167"/>
      <c r="AI450" s="167"/>
      <c r="AJ450" s="167"/>
      <c r="AK450" s="167"/>
      <c r="AL450" s="167"/>
      <c r="AM450" s="167"/>
      <c r="AN450" s="167"/>
      <c r="AO450" s="167"/>
      <c r="AP450" s="160"/>
      <c r="AQ450" s="160"/>
      <c r="AR450" s="160"/>
      <c r="AS450" s="160"/>
      <c r="AT450" s="160"/>
    </row>
    <row r="451" spans="23:46" s="99" customFormat="1" x14ac:dyDescent="0.25">
      <c r="W451" s="160"/>
      <c r="X451" s="160"/>
      <c r="Y451" s="167"/>
      <c r="Z451" s="167"/>
      <c r="AA451" s="167"/>
      <c r="AB451" s="167"/>
      <c r="AC451" s="167"/>
      <c r="AD451" s="167"/>
      <c r="AE451" s="167"/>
      <c r="AF451" s="167"/>
      <c r="AG451" s="167"/>
      <c r="AH451" s="167"/>
      <c r="AI451" s="167"/>
      <c r="AJ451" s="167"/>
      <c r="AK451" s="167"/>
      <c r="AL451" s="167"/>
      <c r="AM451" s="167"/>
      <c r="AN451" s="167"/>
      <c r="AO451" s="167"/>
      <c r="AP451" s="160"/>
      <c r="AQ451" s="160"/>
      <c r="AR451" s="160"/>
      <c r="AS451" s="160"/>
      <c r="AT451" s="160"/>
    </row>
    <row r="452" spans="23:46" s="99" customFormat="1" x14ac:dyDescent="0.25">
      <c r="W452" s="160"/>
      <c r="X452" s="160"/>
      <c r="Y452" s="167"/>
      <c r="Z452" s="167"/>
      <c r="AA452" s="167"/>
      <c r="AB452" s="167"/>
      <c r="AC452" s="167"/>
      <c r="AD452" s="167"/>
      <c r="AE452" s="167"/>
      <c r="AF452" s="167"/>
      <c r="AG452" s="167"/>
      <c r="AH452" s="167"/>
      <c r="AI452" s="167"/>
      <c r="AJ452" s="167"/>
      <c r="AK452" s="167"/>
      <c r="AL452" s="167"/>
      <c r="AM452" s="167"/>
      <c r="AN452" s="167"/>
      <c r="AO452" s="167"/>
      <c r="AP452" s="160"/>
      <c r="AQ452" s="160"/>
      <c r="AR452" s="160"/>
      <c r="AS452" s="160"/>
      <c r="AT452" s="160"/>
    </row>
    <row r="453" spans="23:46" s="99" customFormat="1" x14ac:dyDescent="0.25">
      <c r="W453" s="160"/>
      <c r="X453" s="160"/>
      <c r="Y453" s="167"/>
      <c r="Z453" s="167"/>
      <c r="AA453" s="167"/>
      <c r="AB453" s="167"/>
      <c r="AC453" s="167"/>
      <c r="AD453" s="167"/>
      <c r="AE453" s="167"/>
      <c r="AF453" s="167"/>
      <c r="AG453" s="167"/>
      <c r="AH453" s="167"/>
      <c r="AI453" s="167"/>
      <c r="AJ453" s="167"/>
      <c r="AK453" s="167"/>
      <c r="AL453" s="167"/>
      <c r="AM453" s="167"/>
      <c r="AN453" s="167"/>
      <c r="AO453" s="167"/>
      <c r="AP453" s="160"/>
      <c r="AQ453" s="160"/>
      <c r="AR453" s="160"/>
      <c r="AS453" s="160"/>
      <c r="AT453" s="160"/>
    </row>
    <row r="454" spans="23:46" s="99" customFormat="1" x14ac:dyDescent="0.25">
      <c r="W454" s="160"/>
      <c r="X454" s="160"/>
      <c r="Y454" s="167"/>
      <c r="Z454" s="167"/>
      <c r="AA454" s="167"/>
      <c r="AB454" s="167"/>
      <c r="AC454" s="167"/>
      <c r="AD454" s="167"/>
      <c r="AE454" s="167"/>
      <c r="AF454" s="167"/>
      <c r="AG454" s="167"/>
      <c r="AH454" s="167"/>
      <c r="AI454" s="167"/>
      <c r="AJ454" s="167"/>
      <c r="AK454" s="167"/>
      <c r="AL454" s="167"/>
      <c r="AM454" s="167"/>
      <c r="AN454" s="167"/>
      <c r="AO454" s="167"/>
      <c r="AP454" s="160"/>
      <c r="AQ454" s="160"/>
      <c r="AR454" s="160"/>
      <c r="AS454" s="160"/>
      <c r="AT454" s="160"/>
    </row>
    <row r="455" spans="23:46" s="99" customFormat="1" x14ac:dyDescent="0.25">
      <c r="W455" s="160"/>
      <c r="X455" s="160"/>
      <c r="Y455" s="167"/>
      <c r="Z455" s="167"/>
      <c r="AA455" s="167"/>
      <c r="AB455" s="167"/>
      <c r="AC455" s="167"/>
      <c r="AD455" s="167"/>
      <c r="AE455" s="167"/>
      <c r="AF455" s="167"/>
      <c r="AG455" s="167"/>
      <c r="AH455" s="167"/>
      <c r="AI455" s="167"/>
      <c r="AJ455" s="167"/>
      <c r="AK455" s="167"/>
      <c r="AL455" s="167"/>
      <c r="AM455" s="167"/>
      <c r="AN455" s="167"/>
      <c r="AO455" s="167"/>
      <c r="AP455" s="160"/>
      <c r="AQ455" s="160"/>
      <c r="AR455" s="160"/>
      <c r="AS455" s="160"/>
      <c r="AT455" s="160"/>
    </row>
    <row r="456" spans="23:46" s="99" customFormat="1" x14ac:dyDescent="0.25">
      <c r="W456" s="160"/>
      <c r="X456" s="160"/>
      <c r="Y456" s="167"/>
      <c r="Z456" s="167"/>
      <c r="AA456" s="167"/>
      <c r="AB456" s="167"/>
      <c r="AC456" s="167"/>
      <c r="AD456" s="167"/>
      <c r="AE456" s="167"/>
      <c r="AF456" s="167"/>
      <c r="AG456" s="167"/>
      <c r="AH456" s="167"/>
      <c r="AI456" s="167"/>
      <c r="AJ456" s="167"/>
      <c r="AK456" s="167"/>
      <c r="AL456" s="167"/>
      <c r="AM456" s="167"/>
      <c r="AN456" s="167"/>
      <c r="AO456" s="167"/>
      <c r="AP456" s="160"/>
      <c r="AQ456" s="160"/>
      <c r="AR456" s="160"/>
      <c r="AS456" s="160"/>
      <c r="AT456" s="160"/>
    </row>
    <row r="457" spans="23:46" s="99" customFormat="1" x14ac:dyDescent="0.25">
      <c r="W457" s="160"/>
      <c r="X457" s="160"/>
      <c r="Y457" s="167"/>
      <c r="Z457" s="167"/>
      <c r="AA457" s="167"/>
      <c r="AB457" s="167"/>
      <c r="AC457" s="167"/>
      <c r="AD457" s="167"/>
      <c r="AE457" s="167"/>
      <c r="AF457" s="167"/>
      <c r="AG457" s="167"/>
      <c r="AH457" s="167"/>
      <c r="AI457" s="167"/>
      <c r="AJ457" s="167"/>
      <c r="AK457" s="167"/>
      <c r="AL457" s="167"/>
      <c r="AM457" s="167"/>
      <c r="AN457" s="167"/>
      <c r="AO457" s="167"/>
      <c r="AP457" s="160"/>
      <c r="AQ457" s="160"/>
      <c r="AR457" s="160"/>
      <c r="AS457" s="160"/>
      <c r="AT457" s="160"/>
    </row>
    <row r="458" spans="23:46" s="99" customFormat="1" x14ac:dyDescent="0.25">
      <c r="W458" s="160"/>
      <c r="X458" s="160"/>
      <c r="Y458" s="167"/>
      <c r="Z458" s="167"/>
      <c r="AA458" s="167"/>
      <c r="AB458" s="167"/>
      <c r="AC458" s="167"/>
      <c r="AD458" s="167"/>
      <c r="AE458" s="167"/>
      <c r="AF458" s="167"/>
      <c r="AG458" s="167"/>
      <c r="AH458" s="167"/>
      <c r="AI458" s="167"/>
      <c r="AJ458" s="167"/>
      <c r="AK458" s="167"/>
      <c r="AL458" s="167"/>
      <c r="AM458" s="167"/>
      <c r="AN458" s="167"/>
      <c r="AO458" s="167"/>
      <c r="AP458" s="160"/>
      <c r="AQ458" s="160"/>
      <c r="AR458" s="160"/>
      <c r="AS458" s="160"/>
      <c r="AT458" s="160"/>
    </row>
    <row r="459" spans="23:46" s="99" customFormat="1" x14ac:dyDescent="0.25">
      <c r="W459" s="160"/>
      <c r="X459" s="160"/>
      <c r="Y459" s="167"/>
      <c r="Z459" s="167"/>
      <c r="AA459" s="167"/>
      <c r="AB459" s="167"/>
      <c r="AC459" s="167"/>
      <c r="AD459" s="167"/>
      <c r="AE459" s="167"/>
      <c r="AF459" s="167"/>
      <c r="AG459" s="167"/>
      <c r="AH459" s="167"/>
      <c r="AI459" s="167"/>
      <c r="AJ459" s="167"/>
      <c r="AK459" s="167"/>
      <c r="AL459" s="167"/>
      <c r="AM459" s="167"/>
      <c r="AN459" s="167"/>
      <c r="AO459" s="167"/>
      <c r="AP459" s="160"/>
      <c r="AQ459" s="160"/>
      <c r="AR459" s="160"/>
      <c r="AS459" s="160"/>
      <c r="AT459" s="160"/>
    </row>
    <row r="460" spans="23:46" s="99" customFormat="1" x14ac:dyDescent="0.25">
      <c r="W460" s="160"/>
      <c r="X460" s="160"/>
      <c r="Y460" s="167"/>
      <c r="Z460" s="167"/>
      <c r="AA460" s="167"/>
      <c r="AB460" s="167"/>
      <c r="AC460" s="167"/>
      <c r="AD460" s="167"/>
      <c r="AE460" s="167"/>
      <c r="AF460" s="167"/>
      <c r="AG460" s="167"/>
      <c r="AH460" s="167"/>
      <c r="AI460" s="167"/>
      <c r="AJ460" s="167"/>
      <c r="AK460" s="167"/>
      <c r="AL460" s="167"/>
      <c r="AM460" s="167"/>
      <c r="AN460" s="167"/>
      <c r="AO460" s="167"/>
      <c r="AP460" s="160"/>
      <c r="AQ460" s="160"/>
      <c r="AR460" s="160"/>
      <c r="AS460" s="160"/>
      <c r="AT460" s="160"/>
    </row>
    <row r="461" spans="23:46" s="99" customFormat="1" x14ac:dyDescent="0.25">
      <c r="W461" s="160"/>
      <c r="X461" s="160"/>
      <c r="Y461" s="167"/>
      <c r="Z461" s="167"/>
      <c r="AA461" s="167"/>
      <c r="AB461" s="167"/>
      <c r="AC461" s="167"/>
      <c r="AD461" s="167"/>
      <c r="AE461" s="167"/>
      <c r="AF461" s="167"/>
      <c r="AG461" s="167"/>
      <c r="AH461" s="167"/>
      <c r="AI461" s="167"/>
      <c r="AJ461" s="167"/>
      <c r="AK461" s="167"/>
      <c r="AL461" s="167"/>
      <c r="AM461" s="167"/>
      <c r="AN461" s="167"/>
      <c r="AO461" s="167"/>
      <c r="AP461" s="160"/>
      <c r="AQ461" s="160"/>
      <c r="AR461" s="160"/>
      <c r="AS461" s="160"/>
      <c r="AT461" s="160"/>
    </row>
    <row r="462" spans="23:46" s="99" customFormat="1" x14ac:dyDescent="0.25">
      <c r="W462" s="160"/>
      <c r="X462" s="160"/>
      <c r="Y462" s="167"/>
      <c r="Z462" s="167"/>
      <c r="AA462" s="167"/>
      <c r="AB462" s="167"/>
      <c r="AC462" s="167"/>
      <c r="AD462" s="167"/>
      <c r="AE462" s="167"/>
      <c r="AF462" s="167"/>
      <c r="AG462" s="167"/>
      <c r="AH462" s="167"/>
      <c r="AI462" s="167"/>
      <c r="AJ462" s="167"/>
      <c r="AK462" s="167"/>
      <c r="AL462" s="167"/>
      <c r="AM462" s="167"/>
      <c r="AN462" s="167"/>
      <c r="AO462" s="167"/>
      <c r="AP462" s="160"/>
      <c r="AQ462" s="160"/>
      <c r="AR462" s="160"/>
      <c r="AS462" s="160"/>
      <c r="AT462" s="160"/>
    </row>
    <row r="463" spans="23:46" s="99" customFormat="1" x14ac:dyDescent="0.25">
      <c r="W463" s="160"/>
      <c r="X463" s="160"/>
      <c r="Y463" s="167"/>
      <c r="Z463" s="167"/>
      <c r="AA463" s="167"/>
      <c r="AB463" s="167"/>
      <c r="AC463" s="167"/>
      <c r="AD463" s="167"/>
      <c r="AE463" s="167"/>
      <c r="AF463" s="167"/>
      <c r="AG463" s="167"/>
      <c r="AH463" s="167"/>
      <c r="AI463" s="167"/>
      <c r="AJ463" s="167"/>
      <c r="AK463" s="167"/>
      <c r="AL463" s="167"/>
      <c r="AM463" s="167"/>
      <c r="AN463" s="167"/>
      <c r="AO463" s="167"/>
      <c r="AP463" s="160"/>
      <c r="AQ463" s="160"/>
      <c r="AR463" s="160"/>
      <c r="AS463" s="160"/>
      <c r="AT463" s="160"/>
    </row>
    <row r="464" spans="23:46" s="99" customFormat="1" x14ac:dyDescent="0.25">
      <c r="W464" s="160"/>
      <c r="X464" s="160"/>
      <c r="Y464" s="167"/>
      <c r="Z464" s="167"/>
      <c r="AA464" s="167"/>
      <c r="AB464" s="167"/>
      <c r="AC464" s="167"/>
      <c r="AD464" s="167"/>
      <c r="AE464" s="167"/>
      <c r="AF464" s="167"/>
      <c r="AG464" s="167"/>
      <c r="AH464" s="167"/>
      <c r="AI464" s="167"/>
      <c r="AJ464" s="167"/>
      <c r="AK464" s="167"/>
      <c r="AL464" s="167"/>
      <c r="AM464" s="167"/>
      <c r="AN464" s="167"/>
      <c r="AO464" s="167"/>
      <c r="AP464" s="160"/>
      <c r="AQ464" s="160"/>
      <c r="AR464" s="160"/>
      <c r="AS464" s="160"/>
      <c r="AT464" s="160"/>
    </row>
    <row r="465" spans="23:46" s="99" customFormat="1" x14ac:dyDescent="0.25">
      <c r="W465" s="160"/>
      <c r="X465" s="160"/>
      <c r="Y465" s="167"/>
      <c r="Z465" s="167"/>
      <c r="AA465" s="167"/>
      <c r="AB465" s="167"/>
      <c r="AC465" s="167"/>
      <c r="AD465" s="167"/>
      <c r="AE465" s="167"/>
      <c r="AF465" s="167"/>
      <c r="AG465" s="167"/>
      <c r="AH465" s="167"/>
      <c r="AI465" s="167"/>
      <c r="AJ465" s="167"/>
      <c r="AK465" s="167"/>
      <c r="AL465" s="167"/>
      <c r="AM465" s="167"/>
      <c r="AN465" s="167"/>
      <c r="AO465" s="167"/>
      <c r="AP465" s="160"/>
      <c r="AQ465" s="160"/>
      <c r="AR465" s="160"/>
      <c r="AS465" s="160"/>
      <c r="AT465" s="160"/>
    </row>
    <row r="466" spans="23:46" s="99" customFormat="1" x14ac:dyDescent="0.25">
      <c r="W466" s="160"/>
      <c r="X466" s="160"/>
      <c r="Y466" s="167"/>
      <c r="Z466" s="167"/>
      <c r="AA466" s="167"/>
      <c r="AB466" s="167"/>
      <c r="AC466" s="167"/>
      <c r="AD466" s="167"/>
      <c r="AE466" s="167"/>
      <c r="AF466" s="167"/>
      <c r="AG466" s="167"/>
      <c r="AH466" s="167"/>
      <c r="AI466" s="167"/>
      <c r="AJ466" s="167"/>
      <c r="AK466" s="167"/>
      <c r="AL466" s="167"/>
      <c r="AM466" s="167"/>
      <c r="AN466" s="167"/>
      <c r="AO466" s="167"/>
      <c r="AP466" s="160"/>
      <c r="AQ466" s="160"/>
      <c r="AR466" s="160"/>
      <c r="AS466" s="160"/>
      <c r="AT466" s="160"/>
    </row>
    <row r="467" spans="23:46" s="99" customFormat="1" x14ac:dyDescent="0.25">
      <c r="W467" s="160"/>
      <c r="X467" s="160"/>
      <c r="Y467" s="167"/>
      <c r="Z467" s="167"/>
      <c r="AA467" s="167"/>
      <c r="AB467" s="167"/>
      <c r="AC467" s="167"/>
      <c r="AD467" s="167"/>
      <c r="AE467" s="167"/>
      <c r="AF467" s="167"/>
      <c r="AG467" s="167"/>
      <c r="AH467" s="167"/>
      <c r="AI467" s="167"/>
      <c r="AJ467" s="167"/>
      <c r="AK467" s="167"/>
      <c r="AL467" s="167"/>
      <c r="AM467" s="167"/>
      <c r="AN467" s="167"/>
      <c r="AO467" s="167"/>
      <c r="AP467" s="160"/>
      <c r="AQ467" s="160"/>
      <c r="AR467" s="160"/>
      <c r="AS467" s="160"/>
      <c r="AT467" s="160"/>
    </row>
    <row r="468" spans="23:46" s="99" customFormat="1" x14ac:dyDescent="0.25">
      <c r="W468" s="160"/>
      <c r="X468" s="160"/>
      <c r="Y468" s="167"/>
      <c r="Z468" s="167"/>
      <c r="AA468" s="167"/>
      <c r="AB468" s="167"/>
      <c r="AC468" s="167"/>
      <c r="AD468" s="167"/>
      <c r="AE468" s="167"/>
      <c r="AF468" s="167"/>
      <c r="AG468" s="167"/>
      <c r="AH468" s="167"/>
      <c r="AI468" s="167"/>
      <c r="AJ468" s="167"/>
      <c r="AK468" s="167"/>
      <c r="AL468" s="167"/>
      <c r="AM468" s="167"/>
      <c r="AN468" s="167"/>
      <c r="AO468" s="167"/>
      <c r="AP468" s="160"/>
      <c r="AQ468" s="160"/>
      <c r="AR468" s="160"/>
      <c r="AS468" s="160"/>
      <c r="AT468" s="160"/>
    </row>
    <row r="469" spans="23:46" s="99" customFormat="1" x14ac:dyDescent="0.25">
      <c r="W469" s="160"/>
      <c r="X469" s="160"/>
      <c r="Y469" s="167"/>
      <c r="Z469" s="167"/>
      <c r="AA469" s="167"/>
      <c r="AB469" s="167"/>
      <c r="AC469" s="167"/>
      <c r="AD469" s="167"/>
      <c r="AE469" s="167"/>
      <c r="AF469" s="167"/>
      <c r="AG469" s="167"/>
      <c r="AH469" s="167"/>
      <c r="AI469" s="167"/>
      <c r="AJ469" s="167"/>
      <c r="AK469" s="167"/>
      <c r="AL469" s="167"/>
      <c r="AM469" s="167"/>
      <c r="AN469" s="167"/>
      <c r="AO469" s="167"/>
      <c r="AP469" s="160"/>
      <c r="AQ469" s="160"/>
      <c r="AR469" s="160"/>
      <c r="AS469" s="160"/>
      <c r="AT469" s="160"/>
    </row>
    <row r="470" spans="23:46" s="99" customFormat="1" x14ac:dyDescent="0.25">
      <c r="W470" s="160"/>
      <c r="X470" s="160"/>
      <c r="Y470" s="167"/>
      <c r="Z470" s="167"/>
      <c r="AA470" s="167"/>
      <c r="AB470" s="167"/>
      <c r="AC470" s="167"/>
      <c r="AD470" s="167"/>
      <c r="AE470" s="167"/>
      <c r="AF470" s="167"/>
      <c r="AG470" s="167"/>
      <c r="AH470" s="167"/>
      <c r="AI470" s="167"/>
      <c r="AJ470" s="167"/>
      <c r="AK470" s="167"/>
      <c r="AL470" s="167"/>
      <c r="AM470" s="167"/>
      <c r="AN470" s="167"/>
      <c r="AO470" s="167"/>
      <c r="AP470" s="160"/>
      <c r="AQ470" s="160"/>
      <c r="AR470" s="160"/>
      <c r="AS470" s="160"/>
      <c r="AT470" s="160"/>
    </row>
    <row r="471" spans="23:46" s="99" customFormat="1" x14ac:dyDescent="0.25">
      <c r="W471" s="160"/>
      <c r="X471" s="160"/>
      <c r="Y471" s="167"/>
      <c r="Z471" s="167"/>
      <c r="AA471" s="167"/>
      <c r="AB471" s="167"/>
      <c r="AC471" s="167"/>
      <c r="AD471" s="167"/>
      <c r="AE471" s="167"/>
      <c r="AF471" s="167"/>
      <c r="AG471" s="167"/>
      <c r="AH471" s="167"/>
      <c r="AI471" s="167"/>
      <c r="AJ471" s="167"/>
      <c r="AK471" s="167"/>
      <c r="AL471" s="167"/>
      <c r="AM471" s="167"/>
      <c r="AN471" s="167"/>
      <c r="AO471" s="167"/>
      <c r="AP471" s="160"/>
      <c r="AQ471" s="160"/>
      <c r="AR471" s="160"/>
      <c r="AS471" s="160"/>
      <c r="AT471" s="160"/>
    </row>
    <row r="472" spans="23:46" s="99" customFormat="1" x14ac:dyDescent="0.25">
      <c r="W472" s="160"/>
      <c r="X472" s="160"/>
      <c r="Y472" s="167"/>
      <c r="Z472" s="167"/>
      <c r="AA472" s="167"/>
      <c r="AB472" s="167"/>
      <c r="AC472" s="167"/>
      <c r="AD472" s="167"/>
      <c r="AE472" s="167"/>
      <c r="AF472" s="167"/>
      <c r="AG472" s="167"/>
      <c r="AH472" s="167"/>
      <c r="AI472" s="167"/>
      <c r="AJ472" s="167"/>
      <c r="AK472" s="167"/>
      <c r="AL472" s="167"/>
      <c r="AM472" s="167"/>
      <c r="AN472" s="167"/>
      <c r="AO472" s="167"/>
      <c r="AP472" s="160"/>
      <c r="AQ472" s="160"/>
      <c r="AR472" s="160"/>
      <c r="AS472" s="160"/>
      <c r="AT472" s="160"/>
    </row>
    <row r="473" spans="23:46" s="99" customFormat="1" x14ac:dyDescent="0.25">
      <c r="W473" s="160"/>
      <c r="X473" s="160"/>
      <c r="Y473" s="167"/>
      <c r="Z473" s="167"/>
      <c r="AA473" s="167"/>
      <c r="AB473" s="167"/>
      <c r="AC473" s="167"/>
      <c r="AD473" s="167"/>
      <c r="AE473" s="167"/>
      <c r="AF473" s="167"/>
      <c r="AG473" s="167"/>
      <c r="AH473" s="167"/>
      <c r="AI473" s="167"/>
      <c r="AJ473" s="167"/>
      <c r="AK473" s="167"/>
      <c r="AL473" s="167"/>
      <c r="AM473" s="167"/>
      <c r="AN473" s="167"/>
      <c r="AO473" s="167"/>
      <c r="AP473" s="160"/>
      <c r="AQ473" s="160"/>
      <c r="AR473" s="160"/>
      <c r="AS473" s="160"/>
      <c r="AT473" s="160"/>
    </row>
    <row r="474" spans="23:46" s="99" customFormat="1" x14ac:dyDescent="0.25">
      <c r="W474" s="160"/>
      <c r="X474" s="160"/>
      <c r="Y474" s="167"/>
      <c r="Z474" s="167"/>
      <c r="AA474" s="167"/>
      <c r="AB474" s="167"/>
      <c r="AC474" s="167"/>
      <c r="AD474" s="167"/>
      <c r="AE474" s="167"/>
      <c r="AF474" s="167"/>
      <c r="AG474" s="167"/>
      <c r="AH474" s="167"/>
      <c r="AI474" s="167"/>
      <c r="AJ474" s="167"/>
      <c r="AK474" s="167"/>
      <c r="AL474" s="167"/>
      <c r="AM474" s="167"/>
      <c r="AN474" s="167"/>
      <c r="AO474" s="167"/>
      <c r="AP474" s="160"/>
      <c r="AQ474" s="160"/>
      <c r="AR474" s="160"/>
      <c r="AS474" s="160"/>
      <c r="AT474" s="160"/>
    </row>
    <row r="475" spans="23:46" s="99" customFormat="1" x14ac:dyDescent="0.25">
      <c r="W475" s="160"/>
      <c r="X475" s="160"/>
      <c r="Y475" s="167"/>
      <c r="Z475" s="167"/>
      <c r="AA475" s="167"/>
      <c r="AB475" s="167"/>
      <c r="AC475" s="167"/>
      <c r="AD475" s="167"/>
      <c r="AE475" s="167"/>
      <c r="AF475" s="167"/>
      <c r="AG475" s="167"/>
      <c r="AH475" s="167"/>
      <c r="AI475" s="167"/>
      <c r="AJ475" s="167"/>
      <c r="AK475" s="167"/>
      <c r="AL475" s="167"/>
      <c r="AM475" s="167"/>
      <c r="AN475" s="167"/>
      <c r="AO475" s="167"/>
      <c r="AP475" s="160"/>
      <c r="AQ475" s="160"/>
      <c r="AR475" s="160"/>
      <c r="AS475" s="160"/>
      <c r="AT475" s="160"/>
    </row>
    <row r="476" spans="23:46" s="99" customFormat="1" x14ac:dyDescent="0.25">
      <c r="W476" s="160"/>
      <c r="X476" s="160"/>
      <c r="Y476" s="167"/>
      <c r="Z476" s="167"/>
      <c r="AA476" s="167"/>
      <c r="AB476" s="167"/>
      <c r="AC476" s="167"/>
      <c r="AD476" s="167"/>
      <c r="AE476" s="167"/>
      <c r="AF476" s="167"/>
      <c r="AG476" s="167"/>
      <c r="AH476" s="167"/>
      <c r="AI476" s="167"/>
      <c r="AJ476" s="167"/>
      <c r="AK476" s="167"/>
      <c r="AL476" s="167"/>
      <c r="AM476" s="167"/>
      <c r="AN476" s="167"/>
      <c r="AO476" s="167"/>
      <c r="AP476" s="160"/>
      <c r="AQ476" s="160"/>
      <c r="AR476" s="160"/>
      <c r="AS476" s="160"/>
      <c r="AT476" s="160"/>
    </row>
    <row r="477" spans="23:46" s="99" customFormat="1" x14ac:dyDescent="0.25">
      <c r="W477" s="160"/>
      <c r="X477" s="160"/>
      <c r="Y477" s="167"/>
      <c r="Z477" s="167"/>
      <c r="AA477" s="167"/>
      <c r="AB477" s="167"/>
      <c r="AC477" s="167"/>
      <c r="AD477" s="167"/>
      <c r="AE477" s="167"/>
      <c r="AF477" s="167"/>
      <c r="AG477" s="167"/>
      <c r="AH477" s="167"/>
      <c r="AI477" s="167"/>
      <c r="AJ477" s="167"/>
      <c r="AK477" s="167"/>
      <c r="AL477" s="167"/>
      <c r="AM477" s="167"/>
      <c r="AN477" s="167"/>
      <c r="AO477" s="167"/>
      <c r="AP477" s="160"/>
      <c r="AQ477" s="160"/>
      <c r="AR477" s="160"/>
      <c r="AS477" s="160"/>
      <c r="AT477" s="160"/>
    </row>
    <row r="478" spans="23:46" s="99" customFormat="1" x14ac:dyDescent="0.25">
      <c r="W478" s="160"/>
      <c r="X478" s="160"/>
      <c r="Y478" s="167"/>
      <c r="Z478" s="167"/>
      <c r="AA478" s="167"/>
      <c r="AB478" s="167"/>
      <c r="AC478" s="167"/>
      <c r="AD478" s="167"/>
      <c r="AE478" s="167"/>
      <c r="AF478" s="167"/>
      <c r="AG478" s="167"/>
      <c r="AH478" s="167"/>
      <c r="AI478" s="167"/>
      <c r="AJ478" s="167"/>
      <c r="AK478" s="167"/>
      <c r="AL478" s="167"/>
      <c r="AM478" s="167"/>
      <c r="AN478" s="167"/>
      <c r="AO478" s="167"/>
      <c r="AP478" s="160"/>
      <c r="AQ478" s="160"/>
      <c r="AR478" s="160"/>
      <c r="AS478" s="160"/>
      <c r="AT478" s="160"/>
    </row>
    <row r="479" spans="23:46" s="99" customFormat="1" x14ac:dyDescent="0.25">
      <c r="W479" s="160"/>
      <c r="X479" s="160"/>
      <c r="Y479" s="167"/>
      <c r="Z479" s="167"/>
      <c r="AA479" s="167"/>
      <c r="AB479" s="167"/>
      <c r="AC479" s="167"/>
      <c r="AD479" s="167"/>
      <c r="AE479" s="167"/>
      <c r="AF479" s="167"/>
      <c r="AG479" s="167"/>
      <c r="AH479" s="167"/>
      <c r="AI479" s="167"/>
      <c r="AJ479" s="167"/>
      <c r="AK479" s="167"/>
      <c r="AL479" s="167"/>
      <c r="AM479" s="167"/>
      <c r="AN479" s="167"/>
      <c r="AO479" s="167"/>
      <c r="AP479" s="160"/>
      <c r="AQ479" s="160"/>
      <c r="AR479" s="160"/>
      <c r="AS479" s="160"/>
      <c r="AT479" s="160"/>
    </row>
    <row r="480" spans="23:46" s="99" customFormat="1" x14ac:dyDescent="0.25">
      <c r="W480" s="160"/>
      <c r="X480" s="160"/>
      <c r="Y480" s="167"/>
      <c r="Z480" s="167"/>
      <c r="AA480" s="167"/>
      <c r="AB480" s="167"/>
      <c r="AC480" s="167"/>
      <c r="AD480" s="167"/>
      <c r="AE480" s="167"/>
      <c r="AF480" s="167"/>
      <c r="AG480" s="167"/>
      <c r="AH480" s="167"/>
      <c r="AI480" s="167"/>
      <c r="AJ480" s="167"/>
      <c r="AK480" s="167"/>
      <c r="AL480" s="167"/>
      <c r="AM480" s="167"/>
      <c r="AN480" s="167"/>
      <c r="AO480" s="167"/>
      <c r="AP480" s="160"/>
      <c r="AQ480" s="160"/>
      <c r="AR480" s="160"/>
      <c r="AS480" s="160"/>
      <c r="AT480" s="160"/>
    </row>
    <row r="481" spans="23:46" s="99" customFormat="1" x14ac:dyDescent="0.25">
      <c r="W481" s="160"/>
      <c r="X481" s="160"/>
      <c r="Y481" s="167"/>
      <c r="Z481" s="167"/>
      <c r="AA481" s="167"/>
      <c r="AB481" s="167"/>
      <c r="AC481" s="167"/>
      <c r="AD481" s="167"/>
      <c r="AE481" s="167"/>
      <c r="AF481" s="167"/>
      <c r="AG481" s="167"/>
      <c r="AH481" s="167"/>
      <c r="AI481" s="167"/>
      <c r="AJ481" s="167"/>
      <c r="AK481" s="167"/>
      <c r="AL481" s="167"/>
      <c r="AM481" s="167"/>
      <c r="AN481" s="167"/>
      <c r="AO481" s="167"/>
      <c r="AP481" s="160"/>
      <c r="AQ481" s="160"/>
      <c r="AR481" s="160"/>
      <c r="AS481" s="160"/>
      <c r="AT481" s="160"/>
    </row>
    <row r="482" spans="23:46" s="99" customFormat="1" x14ac:dyDescent="0.25">
      <c r="W482" s="160"/>
      <c r="X482" s="160"/>
      <c r="Y482" s="167"/>
      <c r="Z482" s="167"/>
      <c r="AA482" s="167"/>
      <c r="AB482" s="167"/>
      <c r="AC482" s="167"/>
      <c r="AD482" s="167"/>
      <c r="AE482" s="167"/>
      <c r="AF482" s="167"/>
      <c r="AG482" s="167"/>
      <c r="AH482" s="167"/>
      <c r="AI482" s="167"/>
      <c r="AJ482" s="167"/>
      <c r="AK482" s="167"/>
      <c r="AL482" s="167"/>
      <c r="AM482" s="167"/>
      <c r="AN482" s="167"/>
      <c r="AO482" s="167"/>
      <c r="AP482" s="160"/>
      <c r="AQ482" s="160"/>
      <c r="AR482" s="160"/>
      <c r="AS482" s="160"/>
      <c r="AT482" s="160"/>
    </row>
    <row r="483" spans="23:46" s="99" customFormat="1" x14ac:dyDescent="0.25">
      <c r="W483" s="160"/>
      <c r="X483" s="160"/>
      <c r="Y483" s="167"/>
      <c r="Z483" s="167"/>
      <c r="AA483" s="167"/>
      <c r="AB483" s="167"/>
      <c r="AC483" s="167"/>
      <c r="AD483" s="167"/>
      <c r="AE483" s="167"/>
      <c r="AF483" s="167"/>
      <c r="AG483" s="167"/>
      <c r="AH483" s="167"/>
      <c r="AI483" s="167"/>
      <c r="AJ483" s="167"/>
      <c r="AK483" s="167"/>
      <c r="AL483" s="167"/>
      <c r="AM483" s="167"/>
      <c r="AN483" s="167"/>
      <c r="AO483" s="167"/>
      <c r="AP483" s="160"/>
      <c r="AQ483" s="160"/>
      <c r="AR483" s="160"/>
      <c r="AS483" s="160"/>
      <c r="AT483" s="160"/>
    </row>
    <row r="484" spans="23:46" s="99" customFormat="1" x14ac:dyDescent="0.25">
      <c r="W484" s="160"/>
      <c r="X484" s="160"/>
      <c r="Y484" s="167"/>
      <c r="Z484" s="167"/>
      <c r="AA484" s="167"/>
      <c r="AB484" s="167"/>
      <c r="AC484" s="167"/>
      <c r="AD484" s="167"/>
      <c r="AE484" s="167"/>
      <c r="AF484" s="167"/>
      <c r="AG484" s="167"/>
      <c r="AH484" s="167"/>
      <c r="AI484" s="167"/>
      <c r="AJ484" s="167"/>
      <c r="AK484" s="167"/>
      <c r="AL484" s="167"/>
      <c r="AM484" s="167"/>
      <c r="AN484" s="167"/>
      <c r="AO484" s="167"/>
      <c r="AP484" s="160"/>
      <c r="AQ484" s="160"/>
      <c r="AR484" s="160"/>
      <c r="AS484" s="160"/>
      <c r="AT484" s="160"/>
    </row>
    <row r="485" spans="23:46" s="99" customFormat="1" x14ac:dyDescent="0.25">
      <c r="W485" s="160"/>
      <c r="X485" s="160"/>
      <c r="Y485" s="167"/>
      <c r="Z485" s="167"/>
      <c r="AA485" s="167"/>
      <c r="AB485" s="167"/>
      <c r="AC485" s="167"/>
      <c r="AD485" s="167"/>
      <c r="AE485" s="167"/>
      <c r="AF485" s="167"/>
      <c r="AG485" s="167"/>
      <c r="AH485" s="167"/>
      <c r="AI485" s="167"/>
      <c r="AJ485" s="167"/>
      <c r="AK485" s="167"/>
      <c r="AL485" s="167"/>
      <c r="AM485" s="167"/>
      <c r="AN485" s="167"/>
      <c r="AO485" s="167"/>
      <c r="AP485" s="160"/>
      <c r="AQ485" s="160"/>
      <c r="AR485" s="160"/>
      <c r="AS485" s="160"/>
      <c r="AT485" s="160"/>
    </row>
    <row r="486" spans="23:46" s="99" customFormat="1" x14ac:dyDescent="0.25">
      <c r="W486" s="160"/>
      <c r="X486" s="160"/>
      <c r="Y486" s="167"/>
      <c r="Z486" s="167"/>
      <c r="AA486" s="167"/>
      <c r="AB486" s="167"/>
      <c r="AC486" s="167"/>
      <c r="AD486" s="167"/>
      <c r="AE486" s="167"/>
      <c r="AF486" s="167"/>
      <c r="AG486" s="167"/>
      <c r="AH486" s="167"/>
      <c r="AI486" s="167"/>
      <c r="AJ486" s="167"/>
      <c r="AK486" s="167"/>
      <c r="AL486" s="167"/>
      <c r="AM486" s="167"/>
      <c r="AN486" s="167"/>
      <c r="AO486" s="167"/>
      <c r="AP486" s="160"/>
      <c r="AQ486" s="160"/>
      <c r="AR486" s="160"/>
      <c r="AS486" s="160"/>
      <c r="AT486" s="160"/>
    </row>
    <row r="487" spans="23:46" s="99" customFormat="1" x14ac:dyDescent="0.25">
      <c r="W487" s="160"/>
      <c r="X487" s="160"/>
      <c r="Y487" s="167"/>
      <c r="Z487" s="167"/>
      <c r="AA487" s="167"/>
      <c r="AB487" s="167"/>
      <c r="AC487" s="167"/>
      <c r="AD487" s="167"/>
      <c r="AE487" s="167"/>
      <c r="AF487" s="167"/>
      <c r="AG487" s="167"/>
      <c r="AH487" s="167"/>
      <c r="AI487" s="167"/>
      <c r="AJ487" s="167"/>
      <c r="AK487" s="167"/>
      <c r="AL487" s="167"/>
      <c r="AM487" s="167"/>
      <c r="AN487" s="167"/>
      <c r="AO487" s="167"/>
      <c r="AP487" s="160"/>
      <c r="AQ487" s="160"/>
      <c r="AR487" s="160"/>
      <c r="AS487" s="160"/>
      <c r="AT487" s="160"/>
    </row>
    <row r="488" spans="23:46" s="99" customFormat="1" x14ac:dyDescent="0.25">
      <c r="W488" s="160"/>
      <c r="X488" s="160"/>
      <c r="Y488" s="167"/>
      <c r="Z488" s="167"/>
      <c r="AA488" s="167"/>
      <c r="AB488" s="167"/>
      <c r="AC488" s="167"/>
      <c r="AD488" s="167"/>
      <c r="AE488" s="167"/>
      <c r="AF488" s="167"/>
      <c r="AG488" s="167"/>
      <c r="AH488" s="167"/>
      <c r="AI488" s="167"/>
      <c r="AJ488" s="167"/>
      <c r="AK488" s="167"/>
      <c r="AL488" s="167"/>
      <c r="AM488" s="167"/>
      <c r="AN488" s="167"/>
      <c r="AO488" s="167"/>
      <c r="AP488" s="160"/>
      <c r="AQ488" s="160"/>
      <c r="AR488" s="160"/>
      <c r="AS488" s="160"/>
      <c r="AT488" s="160"/>
    </row>
    <row r="489" spans="23:46" s="99" customFormat="1" x14ac:dyDescent="0.25">
      <c r="W489" s="160"/>
      <c r="X489" s="160"/>
      <c r="Y489" s="167"/>
      <c r="Z489" s="167"/>
      <c r="AA489" s="167"/>
      <c r="AB489" s="167"/>
      <c r="AC489" s="167"/>
      <c r="AD489" s="167"/>
      <c r="AE489" s="167"/>
      <c r="AF489" s="167"/>
      <c r="AG489" s="167"/>
      <c r="AH489" s="167"/>
      <c r="AI489" s="167"/>
      <c r="AJ489" s="167"/>
      <c r="AK489" s="167"/>
      <c r="AL489" s="167"/>
      <c r="AM489" s="167"/>
      <c r="AN489" s="167"/>
      <c r="AO489" s="167"/>
      <c r="AP489" s="160"/>
      <c r="AQ489" s="160"/>
      <c r="AR489" s="160"/>
      <c r="AS489" s="160"/>
      <c r="AT489" s="160"/>
    </row>
    <row r="490" spans="23:46" s="99" customFormat="1" x14ac:dyDescent="0.25">
      <c r="W490" s="160"/>
      <c r="X490" s="160"/>
      <c r="Y490" s="167"/>
      <c r="Z490" s="167"/>
      <c r="AA490" s="167"/>
      <c r="AB490" s="167"/>
      <c r="AC490" s="167"/>
      <c r="AD490" s="167"/>
      <c r="AE490" s="167"/>
      <c r="AF490" s="167"/>
      <c r="AG490" s="167"/>
      <c r="AH490" s="167"/>
      <c r="AI490" s="167"/>
      <c r="AJ490" s="167"/>
      <c r="AK490" s="167"/>
      <c r="AL490" s="167"/>
      <c r="AM490" s="167"/>
      <c r="AN490" s="167"/>
      <c r="AO490" s="167"/>
      <c r="AP490" s="160"/>
      <c r="AQ490" s="160"/>
      <c r="AR490" s="160"/>
      <c r="AS490" s="160"/>
      <c r="AT490" s="160"/>
    </row>
    <row r="491" spans="23:46" s="99" customFormat="1" x14ac:dyDescent="0.25">
      <c r="W491" s="160"/>
      <c r="X491" s="160"/>
      <c r="Y491" s="167"/>
      <c r="Z491" s="167"/>
      <c r="AA491" s="167"/>
      <c r="AB491" s="167"/>
      <c r="AC491" s="167"/>
      <c r="AD491" s="167"/>
      <c r="AE491" s="167"/>
      <c r="AF491" s="167"/>
      <c r="AG491" s="167"/>
      <c r="AH491" s="167"/>
      <c r="AI491" s="167"/>
      <c r="AJ491" s="167"/>
      <c r="AK491" s="167"/>
      <c r="AL491" s="167"/>
      <c r="AM491" s="167"/>
      <c r="AN491" s="167"/>
      <c r="AO491" s="167"/>
      <c r="AP491" s="160"/>
      <c r="AQ491" s="160"/>
      <c r="AR491" s="160"/>
      <c r="AS491" s="160"/>
      <c r="AT491" s="160"/>
    </row>
    <row r="492" spans="23:46" s="99" customFormat="1" x14ac:dyDescent="0.25">
      <c r="W492" s="160"/>
      <c r="X492" s="160"/>
      <c r="Y492" s="167"/>
      <c r="Z492" s="167"/>
      <c r="AA492" s="167"/>
      <c r="AB492" s="167"/>
      <c r="AC492" s="167"/>
      <c r="AD492" s="167"/>
      <c r="AE492" s="167"/>
      <c r="AF492" s="167"/>
      <c r="AG492" s="167"/>
      <c r="AH492" s="167"/>
      <c r="AI492" s="167"/>
      <c r="AJ492" s="167"/>
      <c r="AK492" s="167"/>
      <c r="AL492" s="167"/>
      <c r="AM492" s="167"/>
      <c r="AN492" s="167"/>
      <c r="AO492" s="167"/>
      <c r="AP492" s="160"/>
      <c r="AQ492" s="160"/>
      <c r="AR492" s="160"/>
      <c r="AS492" s="160"/>
      <c r="AT492" s="160"/>
    </row>
    <row r="493" spans="23:46" s="99" customFormat="1" x14ac:dyDescent="0.25">
      <c r="W493" s="160"/>
      <c r="X493" s="160"/>
      <c r="Y493" s="167"/>
      <c r="Z493" s="167"/>
      <c r="AA493" s="167"/>
      <c r="AB493" s="167"/>
      <c r="AC493" s="167"/>
      <c r="AD493" s="167"/>
      <c r="AE493" s="167"/>
      <c r="AF493" s="167"/>
      <c r="AG493" s="167"/>
      <c r="AH493" s="167"/>
      <c r="AI493" s="167"/>
      <c r="AJ493" s="167"/>
      <c r="AK493" s="167"/>
      <c r="AL493" s="167"/>
      <c r="AM493" s="167"/>
      <c r="AN493" s="167"/>
      <c r="AO493" s="167"/>
      <c r="AP493" s="160"/>
      <c r="AQ493" s="160"/>
      <c r="AR493" s="160"/>
      <c r="AS493" s="160"/>
      <c r="AT493" s="160"/>
    </row>
    <row r="494" spans="23:46" s="99" customFormat="1" x14ac:dyDescent="0.25">
      <c r="W494" s="160"/>
      <c r="X494" s="160"/>
      <c r="Y494" s="167"/>
      <c r="Z494" s="167"/>
      <c r="AA494" s="167"/>
      <c r="AB494" s="167"/>
      <c r="AC494" s="167"/>
      <c r="AD494" s="167"/>
      <c r="AE494" s="167"/>
      <c r="AF494" s="167"/>
      <c r="AG494" s="167"/>
      <c r="AH494" s="167"/>
      <c r="AI494" s="167"/>
      <c r="AJ494" s="167"/>
      <c r="AK494" s="167"/>
      <c r="AL494" s="167"/>
      <c r="AM494" s="167"/>
      <c r="AN494" s="167"/>
      <c r="AO494" s="167"/>
      <c r="AP494" s="160"/>
      <c r="AQ494" s="160"/>
      <c r="AR494" s="160"/>
      <c r="AS494" s="160"/>
      <c r="AT494" s="160"/>
    </row>
    <row r="495" spans="23:46" s="99" customFormat="1" x14ac:dyDescent="0.25">
      <c r="W495" s="160"/>
      <c r="X495" s="160"/>
      <c r="Y495" s="167"/>
      <c r="Z495" s="167"/>
      <c r="AA495" s="167"/>
      <c r="AB495" s="167"/>
      <c r="AC495" s="167"/>
      <c r="AD495" s="167"/>
      <c r="AE495" s="167"/>
      <c r="AF495" s="167"/>
      <c r="AG495" s="167"/>
      <c r="AH495" s="167"/>
      <c r="AI495" s="167"/>
      <c r="AJ495" s="167"/>
      <c r="AK495" s="167"/>
      <c r="AL495" s="167"/>
      <c r="AM495" s="167"/>
      <c r="AN495" s="167"/>
      <c r="AO495" s="167"/>
      <c r="AP495" s="160"/>
      <c r="AQ495" s="160"/>
      <c r="AR495" s="160"/>
      <c r="AS495" s="160"/>
      <c r="AT495" s="160"/>
    </row>
    <row r="496" spans="23:46" s="99" customFormat="1" x14ac:dyDescent="0.25">
      <c r="W496" s="160"/>
      <c r="X496" s="160"/>
      <c r="Y496" s="167"/>
      <c r="Z496" s="167"/>
      <c r="AA496" s="167"/>
      <c r="AB496" s="167"/>
      <c r="AC496" s="167"/>
      <c r="AD496" s="167"/>
      <c r="AE496" s="167"/>
      <c r="AF496" s="167"/>
      <c r="AG496" s="167"/>
      <c r="AH496" s="167"/>
      <c r="AI496" s="167"/>
      <c r="AJ496" s="167"/>
      <c r="AK496" s="167"/>
      <c r="AL496" s="167"/>
      <c r="AM496" s="167"/>
      <c r="AN496" s="167"/>
      <c r="AO496" s="167"/>
      <c r="AP496" s="160"/>
      <c r="AQ496" s="160"/>
      <c r="AR496" s="160"/>
      <c r="AS496" s="160"/>
      <c r="AT496" s="160"/>
    </row>
    <row r="497" spans="23:46" s="99" customFormat="1" x14ac:dyDescent="0.25">
      <c r="W497" s="160"/>
      <c r="X497" s="160"/>
      <c r="Y497" s="167"/>
      <c r="Z497" s="167"/>
      <c r="AA497" s="167"/>
      <c r="AB497" s="167"/>
      <c r="AC497" s="167"/>
      <c r="AD497" s="167"/>
      <c r="AE497" s="167"/>
      <c r="AF497" s="167"/>
      <c r="AG497" s="167"/>
      <c r="AH497" s="167"/>
      <c r="AI497" s="167"/>
      <c r="AJ497" s="167"/>
      <c r="AK497" s="167"/>
      <c r="AL497" s="167"/>
      <c r="AM497" s="167"/>
      <c r="AN497" s="167"/>
      <c r="AO497" s="167"/>
      <c r="AP497" s="160"/>
      <c r="AQ497" s="160"/>
      <c r="AR497" s="160"/>
      <c r="AS497" s="160"/>
      <c r="AT497" s="160"/>
    </row>
    <row r="498" spans="23:46" s="99" customFormat="1" x14ac:dyDescent="0.25">
      <c r="W498" s="160"/>
      <c r="X498" s="160"/>
      <c r="Y498" s="167"/>
      <c r="Z498" s="167"/>
      <c r="AA498" s="167"/>
      <c r="AB498" s="167"/>
      <c r="AC498" s="167"/>
      <c r="AD498" s="167"/>
      <c r="AE498" s="167"/>
      <c r="AF498" s="167"/>
      <c r="AG498" s="167"/>
      <c r="AH498" s="167"/>
      <c r="AI498" s="167"/>
      <c r="AJ498" s="167"/>
      <c r="AK498" s="167"/>
      <c r="AL498" s="167"/>
      <c r="AM498" s="167"/>
      <c r="AN498" s="167"/>
      <c r="AO498" s="167"/>
      <c r="AP498" s="160"/>
      <c r="AQ498" s="160"/>
      <c r="AR498" s="160"/>
      <c r="AS498" s="160"/>
      <c r="AT498" s="160"/>
    </row>
    <row r="499" spans="23:46" s="99" customFormat="1" x14ac:dyDescent="0.25">
      <c r="W499" s="160"/>
      <c r="X499" s="160"/>
      <c r="Y499" s="167"/>
      <c r="Z499" s="167"/>
      <c r="AA499" s="167"/>
      <c r="AB499" s="167"/>
      <c r="AC499" s="167"/>
      <c r="AD499" s="167"/>
      <c r="AE499" s="167"/>
      <c r="AF499" s="167"/>
      <c r="AG499" s="167"/>
      <c r="AH499" s="167"/>
      <c r="AI499" s="167"/>
      <c r="AJ499" s="167"/>
      <c r="AK499" s="167"/>
      <c r="AL499" s="167"/>
      <c r="AM499" s="167"/>
      <c r="AN499" s="167"/>
      <c r="AO499" s="167"/>
      <c r="AP499" s="160"/>
      <c r="AQ499" s="160"/>
      <c r="AR499" s="160"/>
      <c r="AS499" s="160"/>
      <c r="AT499" s="160"/>
    </row>
    <row r="500" spans="23:46" s="99" customFormat="1" x14ac:dyDescent="0.25">
      <c r="W500" s="160"/>
      <c r="X500" s="160"/>
      <c r="Y500" s="167"/>
      <c r="Z500" s="167"/>
      <c r="AA500" s="167"/>
      <c r="AB500" s="167"/>
      <c r="AC500" s="167"/>
      <c r="AD500" s="167"/>
      <c r="AE500" s="167"/>
      <c r="AF500" s="167"/>
      <c r="AG500" s="167"/>
      <c r="AH500" s="167"/>
      <c r="AI500" s="167"/>
      <c r="AJ500" s="167"/>
      <c r="AK500" s="167"/>
      <c r="AL500" s="167"/>
      <c r="AM500" s="167"/>
      <c r="AN500" s="167"/>
      <c r="AO500" s="167"/>
      <c r="AP500" s="160"/>
      <c r="AQ500" s="160"/>
      <c r="AR500" s="160"/>
      <c r="AS500" s="160"/>
      <c r="AT500" s="160"/>
    </row>
    <row r="501" spans="23:46" s="99" customFormat="1" x14ac:dyDescent="0.25">
      <c r="W501" s="160"/>
      <c r="X501" s="160"/>
      <c r="Y501" s="167"/>
      <c r="Z501" s="167"/>
      <c r="AA501" s="167"/>
      <c r="AB501" s="167"/>
      <c r="AC501" s="167"/>
      <c r="AD501" s="167"/>
      <c r="AE501" s="167"/>
      <c r="AF501" s="167"/>
      <c r="AG501" s="167"/>
      <c r="AH501" s="167"/>
      <c r="AI501" s="167"/>
      <c r="AJ501" s="167"/>
      <c r="AK501" s="167"/>
      <c r="AL501" s="167"/>
      <c r="AM501" s="167"/>
      <c r="AN501" s="167"/>
      <c r="AO501" s="167"/>
      <c r="AP501" s="160"/>
      <c r="AQ501" s="160"/>
      <c r="AR501" s="160"/>
      <c r="AS501" s="160"/>
      <c r="AT501" s="160"/>
    </row>
    <row r="502" spans="23:46" s="99" customFormat="1" x14ac:dyDescent="0.25">
      <c r="W502" s="160"/>
      <c r="X502" s="160"/>
      <c r="Y502" s="167"/>
      <c r="Z502" s="167"/>
      <c r="AA502" s="167"/>
      <c r="AB502" s="167"/>
      <c r="AC502" s="167"/>
      <c r="AD502" s="167"/>
      <c r="AE502" s="167"/>
      <c r="AF502" s="167"/>
      <c r="AG502" s="167"/>
      <c r="AH502" s="167"/>
      <c r="AI502" s="167"/>
      <c r="AJ502" s="167"/>
      <c r="AK502" s="167"/>
      <c r="AL502" s="167"/>
      <c r="AM502" s="167"/>
      <c r="AN502" s="167"/>
      <c r="AO502" s="167"/>
      <c r="AP502" s="160"/>
      <c r="AQ502" s="160"/>
      <c r="AR502" s="160"/>
      <c r="AS502" s="160"/>
      <c r="AT502" s="160"/>
    </row>
    <row r="503" spans="23:46" s="99" customFormat="1" x14ac:dyDescent="0.25">
      <c r="W503" s="160"/>
      <c r="X503" s="160"/>
      <c r="Y503" s="167"/>
      <c r="Z503" s="167"/>
      <c r="AA503" s="167"/>
      <c r="AB503" s="167"/>
      <c r="AC503" s="167"/>
      <c r="AD503" s="167"/>
      <c r="AE503" s="167"/>
      <c r="AF503" s="167"/>
      <c r="AG503" s="167"/>
      <c r="AH503" s="167"/>
      <c r="AI503" s="167"/>
      <c r="AJ503" s="167"/>
      <c r="AK503" s="167"/>
      <c r="AL503" s="167"/>
      <c r="AM503" s="167"/>
      <c r="AN503" s="167"/>
      <c r="AO503" s="167"/>
      <c r="AP503" s="160"/>
      <c r="AQ503" s="160"/>
      <c r="AR503" s="160"/>
      <c r="AS503" s="160"/>
      <c r="AT503" s="160"/>
    </row>
    <row r="504" spans="23:46" s="99" customFormat="1" x14ac:dyDescent="0.25">
      <c r="W504" s="160"/>
      <c r="X504" s="160"/>
      <c r="Y504" s="167"/>
      <c r="Z504" s="167"/>
      <c r="AA504" s="167"/>
      <c r="AB504" s="167"/>
      <c r="AC504" s="167"/>
      <c r="AD504" s="167"/>
      <c r="AE504" s="167"/>
      <c r="AF504" s="167"/>
      <c r="AG504" s="167"/>
      <c r="AH504" s="167"/>
      <c r="AI504" s="167"/>
      <c r="AJ504" s="167"/>
      <c r="AK504" s="167"/>
      <c r="AL504" s="167"/>
      <c r="AM504" s="167"/>
      <c r="AN504" s="167"/>
      <c r="AO504" s="167"/>
      <c r="AP504" s="160"/>
      <c r="AQ504" s="160"/>
      <c r="AR504" s="160"/>
      <c r="AS504" s="160"/>
      <c r="AT504" s="160"/>
    </row>
    <row r="505" spans="23:46" s="99" customFormat="1" x14ac:dyDescent="0.25">
      <c r="W505" s="160"/>
      <c r="X505" s="160"/>
      <c r="Y505" s="167"/>
      <c r="Z505" s="167"/>
      <c r="AA505" s="167"/>
      <c r="AB505" s="167"/>
      <c r="AC505" s="167"/>
      <c r="AD505" s="167"/>
      <c r="AE505" s="167"/>
      <c r="AF505" s="167"/>
      <c r="AG505" s="167"/>
      <c r="AH505" s="167"/>
      <c r="AI505" s="167"/>
      <c r="AJ505" s="167"/>
      <c r="AK505" s="167"/>
      <c r="AL505" s="167"/>
      <c r="AM505" s="167"/>
      <c r="AN505" s="167"/>
      <c r="AO505" s="167"/>
      <c r="AP505" s="160"/>
      <c r="AQ505" s="160"/>
      <c r="AR505" s="160"/>
      <c r="AS505" s="160"/>
      <c r="AT505" s="160"/>
    </row>
    <row r="506" spans="23:46" s="99" customFormat="1" x14ac:dyDescent="0.25">
      <c r="W506" s="160"/>
      <c r="X506" s="160"/>
      <c r="Y506" s="167"/>
      <c r="Z506" s="167"/>
      <c r="AA506" s="167"/>
      <c r="AB506" s="167"/>
      <c r="AC506" s="167"/>
      <c r="AD506" s="167"/>
      <c r="AE506" s="167"/>
      <c r="AF506" s="167"/>
      <c r="AG506" s="167"/>
      <c r="AH506" s="167"/>
      <c r="AI506" s="167"/>
      <c r="AJ506" s="167"/>
      <c r="AK506" s="167"/>
      <c r="AL506" s="167"/>
      <c r="AM506" s="167"/>
      <c r="AN506" s="167"/>
      <c r="AO506" s="167"/>
      <c r="AP506" s="160"/>
      <c r="AQ506" s="160"/>
      <c r="AR506" s="160"/>
      <c r="AS506" s="160"/>
      <c r="AT506" s="160"/>
    </row>
    <row r="507" spans="23:46" s="99" customFormat="1" x14ac:dyDescent="0.25">
      <c r="W507" s="160"/>
      <c r="X507" s="160"/>
      <c r="Y507" s="167"/>
      <c r="Z507" s="167"/>
      <c r="AA507" s="167"/>
      <c r="AB507" s="167"/>
      <c r="AC507" s="167"/>
      <c r="AD507" s="167"/>
      <c r="AE507" s="167"/>
      <c r="AF507" s="167"/>
      <c r="AG507" s="167"/>
      <c r="AH507" s="167"/>
      <c r="AI507" s="167"/>
      <c r="AJ507" s="167"/>
      <c r="AK507" s="167"/>
      <c r="AL507" s="167"/>
      <c r="AM507" s="167"/>
      <c r="AN507" s="167"/>
      <c r="AO507" s="167"/>
      <c r="AP507" s="160"/>
      <c r="AQ507" s="160"/>
      <c r="AR507" s="160"/>
      <c r="AS507" s="160"/>
      <c r="AT507" s="160"/>
    </row>
    <row r="508" spans="23:46" s="99" customFormat="1" x14ac:dyDescent="0.25">
      <c r="W508" s="160"/>
      <c r="X508" s="160"/>
      <c r="Y508" s="167"/>
      <c r="Z508" s="167"/>
      <c r="AA508" s="167"/>
      <c r="AB508" s="167"/>
      <c r="AC508" s="167"/>
      <c r="AD508" s="167"/>
      <c r="AE508" s="167"/>
      <c r="AF508" s="167"/>
      <c r="AG508" s="167"/>
      <c r="AH508" s="167"/>
      <c r="AI508" s="167"/>
      <c r="AJ508" s="167"/>
      <c r="AK508" s="167"/>
      <c r="AL508" s="167"/>
      <c r="AM508" s="167"/>
      <c r="AN508" s="167"/>
      <c r="AO508" s="167"/>
      <c r="AP508" s="160"/>
      <c r="AQ508" s="160"/>
      <c r="AR508" s="160"/>
      <c r="AS508" s="160"/>
      <c r="AT508" s="160"/>
    </row>
    <row r="509" spans="23:46" s="99" customFormat="1" x14ac:dyDescent="0.25">
      <c r="W509" s="160"/>
      <c r="X509" s="160"/>
      <c r="Y509" s="167"/>
      <c r="Z509" s="167"/>
      <c r="AA509" s="167"/>
      <c r="AB509" s="167"/>
      <c r="AC509" s="167"/>
      <c r="AD509" s="167"/>
      <c r="AE509" s="167"/>
      <c r="AF509" s="167"/>
      <c r="AG509" s="167"/>
      <c r="AH509" s="167"/>
      <c r="AI509" s="167"/>
      <c r="AJ509" s="167"/>
      <c r="AK509" s="167"/>
      <c r="AL509" s="167"/>
      <c r="AM509" s="167"/>
      <c r="AN509" s="167"/>
      <c r="AO509" s="167"/>
      <c r="AP509" s="160"/>
      <c r="AQ509" s="160"/>
      <c r="AR509" s="160"/>
      <c r="AS509" s="160"/>
      <c r="AT509" s="160"/>
    </row>
    <row r="510" spans="23:46" s="99" customFormat="1" x14ac:dyDescent="0.25">
      <c r="W510" s="160"/>
      <c r="X510" s="160"/>
      <c r="Y510" s="167"/>
      <c r="Z510" s="167"/>
      <c r="AA510" s="167"/>
      <c r="AB510" s="167"/>
      <c r="AC510" s="167"/>
      <c r="AD510" s="167"/>
      <c r="AE510" s="167"/>
      <c r="AF510" s="167"/>
      <c r="AG510" s="167"/>
      <c r="AH510" s="167"/>
      <c r="AI510" s="167"/>
      <c r="AJ510" s="167"/>
      <c r="AK510" s="167"/>
      <c r="AL510" s="167"/>
      <c r="AM510" s="167"/>
      <c r="AN510" s="167"/>
      <c r="AO510" s="167"/>
      <c r="AP510" s="160"/>
      <c r="AQ510" s="160"/>
      <c r="AR510" s="160"/>
      <c r="AS510" s="160"/>
      <c r="AT510" s="160"/>
    </row>
    <row r="511" spans="23:46" s="99" customFormat="1" x14ac:dyDescent="0.25">
      <c r="W511" s="160"/>
      <c r="X511" s="160"/>
      <c r="Y511" s="167"/>
      <c r="Z511" s="167"/>
      <c r="AA511" s="167"/>
      <c r="AB511" s="167"/>
      <c r="AC511" s="167"/>
      <c r="AD511" s="167"/>
      <c r="AE511" s="167"/>
      <c r="AF511" s="167"/>
      <c r="AG511" s="167"/>
      <c r="AH511" s="167"/>
      <c r="AI511" s="167"/>
      <c r="AJ511" s="167"/>
      <c r="AK511" s="167"/>
      <c r="AL511" s="167"/>
      <c r="AM511" s="167"/>
      <c r="AN511" s="167"/>
      <c r="AO511" s="167"/>
      <c r="AP511" s="160"/>
      <c r="AQ511" s="160"/>
      <c r="AR511" s="160"/>
      <c r="AS511" s="160"/>
      <c r="AT511" s="160"/>
    </row>
    <row r="512" spans="23:46" s="99" customFormat="1" x14ac:dyDescent="0.25">
      <c r="W512" s="160"/>
      <c r="X512" s="160"/>
      <c r="Y512" s="167"/>
      <c r="Z512" s="167"/>
      <c r="AA512" s="167"/>
      <c r="AB512" s="167"/>
      <c r="AC512" s="167"/>
      <c r="AD512" s="167"/>
      <c r="AE512" s="167"/>
      <c r="AF512" s="167"/>
      <c r="AG512" s="167"/>
      <c r="AH512" s="167"/>
      <c r="AI512" s="167"/>
      <c r="AJ512" s="167"/>
      <c r="AK512" s="167"/>
      <c r="AL512" s="167"/>
      <c r="AM512" s="167"/>
      <c r="AN512" s="167"/>
      <c r="AO512" s="167"/>
      <c r="AP512" s="160"/>
      <c r="AQ512" s="160"/>
      <c r="AR512" s="160"/>
      <c r="AS512" s="160"/>
      <c r="AT512" s="160"/>
    </row>
    <row r="513" spans="23:46" s="99" customFormat="1" x14ac:dyDescent="0.25">
      <c r="W513" s="160"/>
      <c r="X513" s="160"/>
      <c r="Y513" s="167"/>
      <c r="Z513" s="167"/>
      <c r="AA513" s="167"/>
      <c r="AB513" s="167"/>
      <c r="AC513" s="167"/>
      <c r="AD513" s="167"/>
      <c r="AE513" s="167"/>
      <c r="AF513" s="167"/>
      <c r="AG513" s="167"/>
      <c r="AH513" s="167"/>
      <c r="AI513" s="167"/>
      <c r="AJ513" s="167"/>
      <c r="AK513" s="167"/>
      <c r="AL513" s="167"/>
      <c r="AM513" s="167"/>
      <c r="AN513" s="167"/>
      <c r="AO513" s="167"/>
      <c r="AP513" s="160"/>
      <c r="AQ513" s="160"/>
      <c r="AR513" s="160"/>
      <c r="AS513" s="160"/>
      <c r="AT513" s="160"/>
    </row>
    <row r="514" spans="23:46" s="99" customFormat="1" x14ac:dyDescent="0.25">
      <c r="W514" s="160"/>
      <c r="X514" s="160"/>
      <c r="Y514" s="167"/>
      <c r="Z514" s="167"/>
      <c r="AA514" s="167"/>
      <c r="AB514" s="167"/>
      <c r="AC514" s="167"/>
      <c r="AD514" s="167"/>
      <c r="AE514" s="167"/>
      <c r="AF514" s="167"/>
      <c r="AG514" s="167"/>
      <c r="AH514" s="167"/>
      <c r="AI514" s="167"/>
      <c r="AJ514" s="167"/>
      <c r="AK514" s="167"/>
      <c r="AL514" s="167"/>
      <c r="AM514" s="167"/>
      <c r="AN514" s="167"/>
      <c r="AO514" s="167"/>
      <c r="AP514" s="160"/>
      <c r="AQ514" s="160"/>
      <c r="AR514" s="160"/>
      <c r="AS514" s="160"/>
      <c r="AT514" s="160"/>
    </row>
    <row r="515" spans="23:46" s="99" customFormat="1" x14ac:dyDescent="0.25">
      <c r="W515" s="160"/>
      <c r="X515" s="160"/>
      <c r="Y515" s="167"/>
      <c r="Z515" s="167"/>
      <c r="AA515" s="167"/>
      <c r="AB515" s="167"/>
      <c r="AC515" s="167"/>
      <c r="AD515" s="167"/>
      <c r="AE515" s="167"/>
      <c r="AF515" s="167"/>
      <c r="AG515" s="167"/>
      <c r="AH515" s="167"/>
      <c r="AI515" s="167"/>
      <c r="AJ515" s="167"/>
      <c r="AK515" s="167"/>
      <c r="AL515" s="167"/>
      <c r="AM515" s="167"/>
      <c r="AN515" s="167"/>
      <c r="AO515" s="167"/>
      <c r="AP515" s="160"/>
      <c r="AQ515" s="160"/>
      <c r="AR515" s="160"/>
      <c r="AS515" s="160"/>
      <c r="AT515" s="160"/>
    </row>
    <row r="516" spans="23:46" s="99" customFormat="1" x14ac:dyDescent="0.25">
      <c r="W516" s="160"/>
      <c r="X516" s="160"/>
      <c r="Y516" s="167"/>
      <c r="Z516" s="167"/>
      <c r="AA516" s="167"/>
      <c r="AB516" s="167"/>
      <c r="AC516" s="167"/>
      <c r="AD516" s="167"/>
      <c r="AE516" s="167"/>
      <c r="AF516" s="167"/>
      <c r="AG516" s="167"/>
      <c r="AH516" s="167"/>
      <c r="AI516" s="167"/>
      <c r="AJ516" s="167"/>
      <c r="AK516" s="167"/>
      <c r="AL516" s="167"/>
      <c r="AM516" s="167"/>
      <c r="AN516" s="167"/>
      <c r="AO516" s="167"/>
      <c r="AP516" s="160"/>
      <c r="AQ516" s="160"/>
      <c r="AR516" s="160"/>
      <c r="AS516" s="160"/>
      <c r="AT516" s="160"/>
    </row>
    <row r="517" spans="23:46" s="99" customFormat="1" x14ac:dyDescent="0.25">
      <c r="W517" s="160"/>
      <c r="X517" s="160"/>
      <c r="Y517" s="167"/>
      <c r="Z517" s="167"/>
      <c r="AA517" s="167"/>
      <c r="AB517" s="167"/>
      <c r="AC517" s="167"/>
      <c r="AD517" s="167"/>
      <c r="AE517" s="167"/>
      <c r="AF517" s="167"/>
      <c r="AG517" s="167"/>
      <c r="AH517" s="167"/>
      <c r="AI517" s="167"/>
      <c r="AJ517" s="167"/>
      <c r="AK517" s="167"/>
      <c r="AL517" s="167"/>
      <c r="AM517" s="167"/>
      <c r="AN517" s="167"/>
      <c r="AO517" s="167"/>
      <c r="AP517" s="160"/>
      <c r="AQ517" s="160"/>
      <c r="AR517" s="160"/>
      <c r="AS517" s="160"/>
      <c r="AT517" s="160"/>
    </row>
    <row r="518" spans="23:46" s="99" customFormat="1" x14ac:dyDescent="0.25">
      <c r="W518" s="160"/>
      <c r="X518" s="160"/>
      <c r="Y518" s="167"/>
      <c r="Z518" s="167"/>
      <c r="AA518" s="167"/>
      <c r="AB518" s="167"/>
      <c r="AC518" s="167"/>
      <c r="AD518" s="167"/>
      <c r="AE518" s="167"/>
      <c r="AF518" s="167"/>
      <c r="AG518" s="167"/>
      <c r="AH518" s="167"/>
      <c r="AI518" s="167"/>
      <c r="AJ518" s="167"/>
      <c r="AK518" s="167"/>
      <c r="AL518" s="167"/>
      <c r="AM518" s="167"/>
      <c r="AN518" s="167"/>
      <c r="AO518" s="167"/>
      <c r="AP518" s="160"/>
      <c r="AQ518" s="160"/>
      <c r="AR518" s="160"/>
      <c r="AS518" s="160"/>
      <c r="AT518" s="160"/>
    </row>
    <row r="519" spans="23:46" s="99" customFormat="1" x14ac:dyDescent="0.25">
      <c r="W519" s="160"/>
      <c r="X519" s="160"/>
      <c r="Y519" s="167"/>
      <c r="Z519" s="167"/>
      <c r="AA519" s="167"/>
      <c r="AB519" s="167"/>
      <c r="AC519" s="167"/>
      <c r="AD519" s="167"/>
      <c r="AE519" s="167"/>
      <c r="AF519" s="167"/>
      <c r="AG519" s="167"/>
      <c r="AH519" s="167"/>
      <c r="AI519" s="167"/>
      <c r="AJ519" s="167"/>
      <c r="AK519" s="167"/>
      <c r="AL519" s="167"/>
      <c r="AM519" s="167"/>
      <c r="AN519" s="167"/>
      <c r="AO519" s="167"/>
      <c r="AP519" s="160"/>
      <c r="AQ519" s="160"/>
      <c r="AR519" s="160"/>
      <c r="AS519" s="160"/>
      <c r="AT519" s="160"/>
    </row>
    <row r="520" spans="23:46" s="99" customFormat="1" x14ac:dyDescent="0.25">
      <c r="W520" s="160"/>
      <c r="X520" s="160"/>
      <c r="Y520" s="167"/>
      <c r="Z520" s="167"/>
      <c r="AA520" s="167"/>
      <c r="AB520" s="167"/>
      <c r="AC520" s="167"/>
      <c r="AD520" s="167"/>
      <c r="AE520" s="167"/>
      <c r="AF520" s="167"/>
      <c r="AG520" s="167"/>
      <c r="AH520" s="167"/>
      <c r="AI520" s="167"/>
      <c r="AJ520" s="167"/>
      <c r="AK520" s="167"/>
      <c r="AL520" s="167"/>
      <c r="AM520" s="167"/>
      <c r="AN520" s="167"/>
      <c r="AO520" s="167"/>
      <c r="AP520" s="160"/>
      <c r="AQ520" s="160"/>
      <c r="AR520" s="160"/>
      <c r="AS520" s="160"/>
      <c r="AT520" s="160"/>
    </row>
    <row r="521" spans="23:46" s="99" customFormat="1" x14ac:dyDescent="0.25">
      <c r="W521" s="160"/>
      <c r="X521" s="160"/>
      <c r="Y521" s="167"/>
      <c r="Z521" s="167"/>
      <c r="AA521" s="167"/>
      <c r="AB521" s="167"/>
      <c r="AC521" s="167"/>
      <c r="AD521" s="167"/>
      <c r="AE521" s="167"/>
      <c r="AF521" s="167"/>
      <c r="AG521" s="167"/>
      <c r="AH521" s="167"/>
      <c r="AI521" s="167"/>
      <c r="AJ521" s="167"/>
      <c r="AK521" s="167"/>
      <c r="AL521" s="167"/>
      <c r="AM521" s="167"/>
      <c r="AN521" s="167"/>
      <c r="AO521" s="167"/>
      <c r="AP521" s="160"/>
      <c r="AQ521" s="160"/>
      <c r="AR521" s="160"/>
      <c r="AS521" s="160"/>
      <c r="AT521" s="160"/>
    </row>
    <row r="522" spans="23:46" s="99" customFormat="1" x14ac:dyDescent="0.25">
      <c r="W522" s="160"/>
      <c r="X522" s="160"/>
      <c r="Y522" s="167"/>
      <c r="Z522" s="167"/>
      <c r="AA522" s="167"/>
      <c r="AB522" s="167"/>
      <c r="AC522" s="167"/>
      <c r="AD522" s="167"/>
      <c r="AE522" s="167"/>
      <c r="AF522" s="167"/>
      <c r="AG522" s="167"/>
      <c r="AH522" s="167"/>
      <c r="AI522" s="167"/>
      <c r="AJ522" s="167"/>
      <c r="AK522" s="167"/>
      <c r="AL522" s="167"/>
      <c r="AM522" s="167"/>
      <c r="AN522" s="167"/>
      <c r="AO522" s="167"/>
      <c r="AP522" s="160"/>
      <c r="AQ522" s="160"/>
      <c r="AR522" s="160"/>
      <c r="AS522" s="160"/>
      <c r="AT522" s="160"/>
    </row>
    <row r="523" spans="23:46" s="99" customFormat="1" x14ac:dyDescent="0.25">
      <c r="W523" s="160"/>
      <c r="X523" s="160"/>
      <c r="Y523" s="167"/>
      <c r="Z523" s="167"/>
      <c r="AA523" s="167"/>
      <c r="AB523" s="167"/>
      <c r="AC523" s="167"/>
      <c r="AD523" s="167"/>
      <c r="AE523" s="167"/>
      <c r="AF523" s="167"/>
      <c r="AG523" s="167"/>
      <c r="AH523" s="167"/>
      <c r="AI523" s="167"/>
      <c r="AJ523" s="167"/>
      <c r="AK523" s="167"/>
      <c r="AL523" s="167"/>
      <c r="AM523" s="167"/>
      <c r="AN523" s="167"/>
      <c r="AO523" s="167"/>
      <c r="AP523" s="160"/>
      <c r="AQ523" s="160"/>
      <c r="AR523" s="160"/>
      <c r="AS523" s="160"/>
      <c r="AT523" s="160"/>
    </row>
    <row r="524" spans="23:46" s="99" customFormat="1" x14ac:dyDescent="0.25">
      <c r="W524" s="160"/>
      <c r="X524" s="160"/>
      <c r="Y524" s="167"/>
      <c r="Z524" s="167"/>
      <c r="AA524" s="167"/>
      <c r="AB524" s="167"/>
      <c r="AC524" s="167"/>
      <c r="AD524" s="167"/>
      <c r="AE524" s="167"/>
      <c r="AF524" s="167"/>
      <c r="AG524" s="167"/>
      <c r="AH524" s="167"/>
      <c r="AI524" s="167"/>
      <c r="AJ524" s="167"/>
      <c r="AK524" s="167"/>
      <c r="AL524" s="167"/>
      <c r="AM524" s="167"/>
      <c r="AN524" s="167"/>
      <c r="AO524" s="167"/>
      <c r="AP524" s="160"/>
      <c r="AQ524" s="160"/>
      <c r="AR524" s="160"/>
      <c r="AS524" s="160"/>
      <c r="AT524" s="160"/>
    </row>
    <row r="525" spans="23:46" s="99" customFormat="1" x14ac:dyDescent="0.25">
      <c r="W525" s="160"/>
      <c r="X525" s="160"/>
      <c r="Y525" s="167"/>
      <c r="Z525" s="167"/>
      <c r="AA525" s="167"/>
      <c r="AB525" s="167"/>
      <c r="AC525" s="167"/>
      <c r="AD525" s="167"/>
      <c r="AE525" s="167"/>
      <c r="AF525" s="167"/>
      <c r="AG525" s="167"/>
      <c r="AH525" s="167"/>
      <c r="AI525" s="167"/>
      <c r="AJ525" s="167"/>
      <c r="AK525" s="167"/>
      <c r="AL525" s="167"/>
      <c r="AM525" s="167"/>
      <c r="AN525" s="167"/>
      <c r="AO525" s="167"/>
      <c r="AP525" s="160"/>
      <c r="AQ525" s="160"/>
      <c r="AR525" s="160"/>
      <c r="AS525" s="160"/>
      <c r="AT525" s="160"/>
    </row>
    <row r="526" spans="23:46" s="99" customFormat="1" x14ac:dyDescent="0.25">
      <c r="W526" s="160"/>
      <c r="X526" s="160"/>
      <c r="Y526" s="167"/>
      <c r="Z526" s="167"/>
      <c r="AA526" s="167"/>
      <c r="AB526" s="167"/>
      <c r="AC526" s="167"/>
      <c r="AD526" s="167"/>
      <c r="AE526" s="167"/>
      <c r="AF526" s="167"/>
      <c r="AG526" s="167"/>
      <c r="AH526" s="167"/>
      <c r="AI526" s="167"/>
      <c r="AJ526" s="167"/>
      <c r="AK526" s="167"/>
      <c r="AL526" s="167"/>
      <c r="AM526" s="167"/>
      <c r="AN526" s="167"/>
      <c r="AO526" s="167"/>
      <c r="AP526" s="160"/>
      <c r="AQ526" s="160"/>
      <c r="AR526" s="160"/>
      <c r="AS526" s="160"/>
      <c r="AT526" s="160"/>
    </row>
    <row r="527" spans="23:46" s="99" customFormat="1" x14ac:dyDescent="0.25">
      <c r="W527" s="160"/>
      <c r="X527" s="160"/>
      <c r="Y527" s="167"/>
      <c r="Z527" s="167"/>
      <c r="AA527" s="167"/>
      <c r="AB527" s="167"/>
      <c r="AC527" s="167"/>
      <c r="AD527" s="167"/>
      <c r="AE527" s="167"/>
      <c r="AF527" s="167"/>
      <c r="AG527" s="167"/>
      <c r="AH527" s="167"/>
      <c r="AI527" s="167"/>
      <c r="AJ527" s="167"/>
      <c r="AK527" s="167"/>
      <c r="AL527" s="167"/>
      <c r="AM527" s="167"/>
      <c r="AN527" s="167"/>
      <c r="AO527" s="167"/>
      <c r="AP527" s="160"/>
      <c r="AQ527" s="160"/>
      <c r="AR527" s="160"/>
      <c r="AS527" s="160"/>
      <c r="AT527" s="160"/>
    </row>
    <row r="528" spans="23:46" s="99" customFormat="1" x14ac:dyDescent="0.25">
      <c r="W528" s="160"/>
      <c r="X528" s="160"/>
      <c r="Y528" s="167"/>
      <c r="Z528" s="167"/>
      <c r="AA528" s="167"/>
      <c r="AB528" s="167"/>
      <c r="AC528" s="167"/>
      <c r="AD528" s="167"/>
      <c r="AE528" s="167"/>
      <c r="AF528" s="167"/>
      <c r="AG528" s="167"/>
      <c r="AH528" s="167"/>
      <c r="AI528" s="167"/>
      <c r="AJ528" s="167"/>
      <c r="AK528" s="167"/>
      <c r="AL528" s="167"/>
      <c r="AM528" s="167"/>
      <c r="AN528" s="167"/>
      <c r="AO528" s="167"/>
      <c r="AP528" s="160"/>
      <c r="AQ528" s="160"/>
      <c r="AR528" s="160"/>
      <c r="AS528" s="160"/>
      <c r="AT528" s="160"/>
    </row>
    <row r="529" spans="23:46" s="99" customFormat="1" x14ac:dyDescent="0.25">
      <c r="W529" s="160"/>
      <c r="X529" s="160"/>
      <c r="Y529" s="167"/>
      <c r="Z529" s="167"/>
      <c r="AA529" s="167"/>
      <c r="AB529" s="167"/>
      <c r="AC529" s="167"/>
      <c r="AD529" s="167"/>
      <c r="AE529" s="167"/>
      <c r="AF529" s="167"/>
      <c r="AG529" s="167"/>
      <c r="AH529" s="167"/>
      <c r="AI529" s="167"/>
      <c r="AJ529" s="167"/>
      <c r="AK529" s="167"/>
      <c r="AL529" s="167"/>
      <c r="AM529" s="167"/>
      <c r="AN529" s="167"/>
      <c r="AO529" s="167"/>
      <c r="AP529" s="160"/>
      <c r="AQ529" s="160"/>
      <c r="AR529" s="160"/>
      <c r="AS529" s="160"/>
      <c r="AT529" s="160"/>
    </row>
    <row r="530" spans="23:46" s="99" customFormat="1" x14ac:dyDescent="0.25">
      <c r="W530" s="160"/>
      <c r="X530" s="160"/>
      <c r="Y530" s="167"/>
      <c r="Z530" s="167"/>
      <c r="AA530" s="167"/>
      <c r="AB530" s="167"/>
      <c r="AC530" s="167"/>
      <c r="AD530" s="167"/>
      <c r="AE530" s="167"/>
      <c r="AF530" s="167"/>
      <c r="AG530" s="167"/>
      <c r="AH530" s="167"/>
      <c r="AI530" s="167"/>
      <c r="AJ530" s="167"/>
      <c r="AK530" s="167"/>
      <c r="AL530" s="167"/>
      <c r="AM530" s="167"/>
      <c r="AN530" s="167"/>
      <c r="AO530" s="167"/>
      <c r="AP530" s="160"/>
      <c r="AQ530" s="160"/>
      <c r="AR530" s="160"/>
      <c r="AS530" s="160"/>
      <c r="AT530" s="160"/>
    </row>
    <row r="531" spans="23:46" s="99" customFormat="1" x14ac:dyDescent="0.25">
      <c r="W531" s="160"/>
      <c r="X531" s="160"/>
      <c r="Y531" s="167"/>
      <c r="Z531" s="167"/>
      <c r="AA531" s="167"/>
      <c r="AB531" s="167"/>
      <c r="AC531" s="167"/>
      <c r="AD531" s="167"/>
      <c r="AE531" s="167"/>
      <c r="AF531" s="167"/>
      <c r="AG531" s="167"/>
      <c r="AH531" s="167"/>
      <c r="AI531" s="167"/>
      <c r="AJ531" s="167"/>
      <c r="AK531" s="167"/>
      <c r="AL531" s="167"/>
      <c r="AM531" s="167"/>
      <c r="AN531" s="167"/>
      <c r="AO531" s="167"/>
      <c r="AP531" s="160"/>
      <c r="AQ531" s="160"/>
      <c r="AR531" s="160"/>
      <c r="AS531" s="160"/>
      <c r="AT531" s="160"/>
    </row>
    <row r="532" spans="23:46" s="99" customFormat="1" x14ac:dyDescent="0.25">
      <c r="W532" s="160"/>
      <c r="X532" s="160"/>
      <c r="Y532" s="167"/>
      <c r="Z532" s="167"/>
      <c r="AA532" s="167"/>
      <c r="AB532" s="167"/>
      <c r="AC532" s="167"/>
      <c r="AD532" s="167"/>
      <c r="AE532" s="167"/>
      <c r="AF532" s="167"/>
      <c r="AG532" s="167"/>
      <c r="AH532" s="167"/>
      <c r="AI532" s="167"/>
      <c r="AJ532" s="167"/>
      <c r="AK532" s="167"/>
      <c r="AL532" s="167"/>
      <c r="AM532" s="167"/>
      <c r="AN532" s="167"/>
      <c r="AO532" s="167"/>
      <c r="AP532" s="160"/>
      <c r="AQ532" s="160"/>
      <c r="AR532" s="160"/>
      <c r="AS532" s="160"/>
      <c r="AT532" s="160"/>
    </row>
    <row r="533" spans="23:46" s="99" customFormat="1" x14ac:dyDescent="0.25">
      <c r="W533" s="160"/>
      <c r="X533" s="160"/>
      <c r="Y533" s="167"/>
      <c r="Z533" s="167"/>
      <c r="AA533" s="167"/>
      <c r="AB533" s="167"/>
      <c r="AC533" s="167"/>
      <c r="AD533" s="167"/>
      <c r="AE533" s="167"/>
      <c r="AF533" s="167"/>
      <c r="AG533" s="167"/>
      <c r="AH533" s="167"/>
      <c r="AI533" s="167"/>
      <c r="AJ533" s="167"/>
      <c r="AK533" s="167"/>
      <c r="AL533" s="167"/>
      <c r="AM533" s="167"/>
      <c r="AN533" s="167"/>
      <c r="AO533" s="167"/>
      <c r="AP533" s="160"/>
      <c r="AQ533" s="160"/>
      <c r="AR533" s="160"/>
      <c r="AS533" s="160"/>
      <c r="AT533" s="160"/>
    </row>
    <row r="534" spans="23:46" s="99" customFormat="1" x14ac:dyDescent="0.25">
      <c r="W534" s="160"/>
      <c r="X534" s="160"/>
      <c r="Y534" s="167"/>
      <c r="Z534" s="167"/>
      <c r="AA534" s="167"/>
      <c r="AB534" s="167"/>
      <c r="AC534" s="167"/>
      <c r="AD534" s="167"/>
      <c r="AE534" s="167"/>
      <c r="AF534" s="167"/>
      <c r="AG534" s="167"/>
      <c r="AH534" s="167"/>
      <c r="AI534" s="167"/>
      <c r="AJ534" s="167"/>
      <c r="AK534" s="167"/>
      <c r="AL534" s="167"/>
      <c r="AM534" s="167"/>
      <c r="AN534" s="167"/>
      <c r="AO534" s="167"/>
      <c r="AP534" s="160"/>
      <c r="AQ534" s="160"/>
      <c r="AR534" s="160"/>
      <c r="AS534" s="160"/>
      <c r="AT534" s="160"/>
    </row>
    <row r="535" spans="23:46" s="99" customFormat="1" x14ac:dyDescent="0.25">
      <c r="W535" s="160"/>
      <c r="X535" s="160"/>
      <c r="Y535" s="167"/>
      <c r="Z535" s="167"/>
      <c r="AA535" s="167"/>
      <c r="AB535" s="167"/>
      <c r="AC535" s="167"/>
      <c r="AD535" s="167"/>
      <c r="AE535" s="167"/>
      <c r="AF535" s="167"/>
      <c r="AG535" s="167"/>
      <c r="AH535" s="167"/>
      <c r="AI535" s="167"/>
      <c r="AJ535" s="167"/>
      <c r="AK535" s="167"/>
      <c r="AL535" s="167"/>
      <c r="AM535" s="167"/>
      <c r="AN535" s="167"/>
      <c r="AO535" s="167"/>
      <c r="AP535" s="160"/>
      <c r="AQ535" s="160"/>
      <c r="AR535" s="160"/>
      <c r="AS535" s="160"/>
      <c r="AT535" s="160"/>
    </row>
    <row r="536" spans="23:46" s="99" customFormat="1" x14ac:dyDescent="0.25">
      <c r="W536" s="160"/>
      <c r="X536" s="160"/>
      <c r="Y536" s="167"/>
      <c r="Z536" s="167"/>
      <c r="AA536" s="167"/>
      <c r="AB536" s="167"/>
      <c r="AC536" s="167"/>
      <c r="AD536" s="167"/>
      <c r="AE536" s="167"/>
      <c r="AF536" s="167"/>
      <c r="AG536" s="167"/>
      <c r="AH536" s="167"/>
      <c r="AI536" s="167"/>
      <c r="AJ536" s="167"/>
      <c r="AK536" s="167"/>
      <c r="AL536" s="167"/>
      <c r="AM536" s="167"/>
      <c r="AN536" s="167"/>
      <c r="AO536" s="167"/>
      <c r="AP536" s="160"/>
      <c r="AQ536" s="160"/>
      <c r="AR536" s="160"/>
      <c r="AS536" s="160"/>
      <c r="AT536" s="160"/>
    </row>
    <row r="537" spans="23:46" s="99" customFormat="1" x14ac:dyDescent="0.25">
      <c r="W537" s="160"/>
      <c r="X537" s="160"/>
      <c r="Y537" s="167"/>
      <c r="Z537" s="167"/>
      <c r="AA537" s="167"/>
      <c r="AB537" s="167"/>
      <c r="AC537" s="167"/>
      <c r="AD537" s="167"/>
      <c r="AE537" s="167"/>
      <c r="AF537" s="167"/>
      <c r="AG537" s="167"/>
      <c r="AH537" s="167"/>
      <c r="AI537" s="167"/>
      <c r="AJ537" s="167"/>
      <c r="AK537" s="167"/>
      <c r="AL537" s="167"/>
      <c r="AM537" s="167"/>
      <c r="AN537" s="167"/>
      <c r="AO537" s="167"/>
      <c r="AP537" s="160"/>
      <c r="AQ537" s="160"/>
      <c r="AR537" s="160"/>
      <c r="AS537" s="160"/>
      <c r="AT537" s="160"/>
    </row>
    <row r="538" spans="23:46" s="99" customFormat="1" x14ac:dyDescent="0.25">
      <c r="W538" s="160"/>
      <c r="X538" s="160"/>
      <c r="Y538" s="167"/>
      <c r="Z538" s="167"/>
      <c r="AA538" s="167"/>
      <c r="AB538" s="167"/>
      <c r="AC538" s="167"/>
      <c r="AD538" s="167"/>
      <c r="AE538" s="167"/>
      <c r="AF538" s="167"/>
      <c r="AG538" s="167"/>
      <c r="AH538" s="167"/>
      <c r="AI538" s="167"/>
      <c r="AJ538" s="167"/>
      <c r="AK538" s="167"/>
      <c r="AL538" s="167"/>
      <c r="AM538" s="167"/>
      <c r="AN538" s="167"/>
      <c r="AO538" s="167"/>
      <c r="AP538" s="160"/>
      <c r="AQ538" s="160"/>
      <c r="AR538" s="160"/>
      <c r="AS538" s="160"/>
      <c r="AT538" s="160"/>
    </row>
    <row r="539" spans="23:46" s="99" customFormat="1" x14ac:dyDescent="0.25">
      <c r="W539" s="160"/>
      <c r="X539" s="160"/>
      <c r="Y539" s="167"/>
      <c r="Z539" s="167"/>
      <c r="AA539" s="167"/>
      <c r="AB539" s="167"/>
      <c r="AC539" s="167"/>
      <c r="AD539" s="167"/>
      <c r="AE539" s="167"/>
      <c r="AF539" s="167"/>
      <c r="AG539" s="167"/>
      <c r="AH539" s="167"/>
      <c r="AI539" s="167"/>
      <c r="AJ539" s="167"/>
      <c r="AK539" s="167"/>
      <c r="AL539" s="167"/>
      <c r="AM539" s="167"/>
      <c r="AN539" s="167"/>
      <c r="AO539" s="167"/>
      <c r="AP539" s="160"/>
      <c r="AQ539" s="160"/>
      <c r="AR539" s="160"/>
      <c r="AS539" s="160"/>
      <c r="AT539" s="160"/>
    </row>
    <row r="540" spans="23:46" s="99" customFormat="1" x14ac:dyDescent="0.25">
      <c r="W540" s="160"/>
      <c r="X540" s="160"/>
      <c r="Y540" s="167"/>
      <c r="Z540" s="167"/>
      <c r="AA540" s="167"/>
      <c r="AB540" s="167"/>
      <c r="AC540" s="167"/>
      <c r="AD540" s="167"/>
      <c r="AE540" s="167"/>
      <c r="AF540" s="167"/>
      <c r="AG540" s="167"/>
      <c r="AH540" s="167"/>
      <c r="AI540" s="167"/>
      <c r="AJ540" s="167"/>
      <c r="AK540" s="167"/>
      <c r="AL540" s="167"/>
      <c r="AM540" s="167"/>
      <c r="AN540" s="167"/>
      <c r="AO540" s="167"/>
      <c r="AP540" s="160"/>
      <c r="AQ540" s="160"/>
      <c r="AR540" s="160"/>
      <c r="AS540" s="160"/>
      <c r="AT540" s="160"/>
    </row>
    <row r="541" spans="23:46" s="99" customFormat="1" x14ac:dyDescent="0.25">
      <c r="W541" s="160"/>
      <c r="X541" s="160"/>
      <c r="Y541" s="167"/>
      <c r="Z541" s="167"/>
      <c r="AA541" s="167"/>
      <c r="AB541" s="167"/>
      <c r="AC541" s="167"/>
      <c r="AD541" s="167"/>
      <c r="AE541" s="167"/>
      <c r="AF541" s="167"/>
      <c r="AG541" s="167"/>
      <c r="AH541" s="167"/>
      <c r="AI541" s="167"/>
      <c r="AJ541" s="167"/>
      <c r="AK541" s="167"/>
      <c r="AL541" s="167"/>
      <c r="AM541" s="167"/>
      <c r="AN541" s="167"/>
      <c r="AO541" s="167"/>
      <c r="AP541" s="160"/>
      <c r="AQ541" s="160"/>
      <c r="AR541" s="160"/>
      <c r="AS541" s="160"/>
      <c r="AT541" s="160"/>
    </row>
    <row r="542" spans="23:46" s="99" customFormat="1" x14ac:dyDescent="0.25">
      <c r="W542" s="160"/>
      <c r="X542" s="160"/>
      <c r="Y542" s="167"/>
      <c r="Z542" s="167"/>
      <c r="AA542" s="167"/>
      <c r="AB542" s="167"/>
      <c r="AC542" s="167"/>
      <c r="AD542" s="167"/>
      <c r="AE542" s="167"/>
      <c r="AF542" s="167"/>
      <c r="AG542" s="167"/>
      <c r="AH542" s="167"/>
      <c r="AI542" s="167"/>
      <c r="AJ542" s="167"/>
      <c r="AK542" s="167"/>
      <c r="AL542" s="167"/>
      <c r="AM542" s="167"/>
      <c r="AN542" s="167"/>
      <c r="AO542" s="167"/>
      <c r="AP542" s="160"/>
      <c r="AQ542" s="160"/>
      <c r="AR542" s="160"/>
      <c r="AS542" s="160"/>
      <c r="AT542" s="160"/>
    </row>
    <row r="543" spans="23:46" s="99" customFormat="1" x14ac:dyDescent="0.25">
      <c r="W543" s="160"/>
      <c r="X543" s="160"/>
      <c r="Y543" s="167"/>
      <c r="Z543" s="167"/>
      <c r="AA543" s="167"/>
      <c r="AB543" s="167"/>
      <c r="AC543" s="167"/>
      <c r="AD543" s="167"/>
      <c r="AE543" s="167"/>
      <c r="AF543" s="167"/>
      <c r="AG543" s="167"/>
      <c r="AH543" s="167"/>
      <c r="AI543" s="167"/>
      <c r="AJ543" s="167"/>
      <c r="AK543" s="167"/>
      <c r="AL543" s="167"/>
      <c r="AM543" s="167"/>
      <c r="AN543" s="167"/>
      <c r="AO543" s="167"/>
      <c r="AP543" s="160"/>
      <c r="AQ543" s="160"/>
      <c r="AR543" s="160"/>
      <c r="AS543" s="160"/>
      <c r="AT543" s="160"/>
    </row>
    <row r="544" spans="23:46" s="99" customFormat="1" x14ac:dyDescent="0.25">
      <c r="W544" s="160"/>
      <c r="X544" s="160"/>
      <c r="Y544" s="167"/>
      <c r="Z544" s="167"/>
      <c r="AA544" s="167"/>
      <c r="AB544" s="167"/>
      <c r="AC544" s="167"/>
      <c r="AD544" s="167"/>
      <c r="AE544" s="167"/>
      <c r="AF544" s="167"/>
      <c r="AG544" s="167"/>
      <c r="AH544" s="167"/>
      <c r="AI544" s="167"/>
      <c r="AJ544" s="167"/>
      <c r="AK544" s="167"/>
      <c r="AL544" s="167"/>
      <c r="AM544" s="167"/>
      <c r="AN544" s="167"/>
      <c r="AO544" s="167"/>
      <c r="AP544" s="160"/>
      <c r="AQ544" s="160"/>
      <c r="AR544" s="160"/>
      <c r="AS544" s="160"/>
      <c r="AT544" s="160"/>
    </row>
    <row r="545" spans="23:46" s="99" customFormat="1" x14ac:dyDescent="0.25">
      <c r="W545" s="160"/>
      <c r="X545" s="160"/>
      <c r="Y545" s="167"/>
      <c r="Z545" s="167"/>
      <c r="AA545" s="167"/>
      <c r="AB545" s="167"/>
      <c r="AC545" s="167"/>
      <c r="AD545" s="167"/>
      <c r="AE545" s="167"/>
      <c r="AF545" s="167"/>
      <c r="AG545" s="167"/>
      <c r="AH545" s="167"/>
      <c r="AI545" s="167"/>
      <c r="AJ545" s="167"/>
      <c r="AK545" s="167"/>
      <c r="AL545" s="167"/>
      <c r="AM545" s="167"/>
      <c r="AN545" s="167"/>
      <c r="AO545" s="167"/>
      <c r="AP545" s="160"/>
      <c r="AQ545" s="160"/>
      <c r="AR545" s="160"/>
      <c r="AS545" s="160"/>
      <c r="AT545" s="160"/>
    </row>
    <row r="546" spans="23:46" s="99" customFormat="1" x14ac:dyDescent="0.25">
      <c r="W546" s="160"/>
      <c r="X546" s="160"/>
      <c r="Y546" s="167"/>
      <c r="Z546" s="167"/>
      <c r="AA546" s="167"/>
      <c r="AB546" s="167"/>
      <c r="AC546" s="167"/>
      <c r="AD546" s="167"/>
      <c r="AE546" s="167"/>
      <c r="AF546" s="167"/>
      <c r="AG546" s="167"/>
      <c r="AH546" s="167"/>
      <c r="AI546" s="167"/>
      <c r="AJ546" s="167"/>
      <c r="AK546" s="167"/>
      <c r="AL546" s="167"/>
      <c r="AM546" s="167"/>
      <c r="AN546" s="167"/>
      <c r="AO546" s="167"/>
      <c r="AP546" s="160"/>
      <c r="AQ546" s="160"/>
      <c r="AR546" s="160"/>
      <c r="AS546" s="160"/>
      <c r="AT546" s="160"/>
    </row>
    <row r="547" spans="23:46" s="99" customFormat="1" x14ac:dyDescent="0.25">
      <c r="W547" s="160"/>
      <c r="X547" s="160"/>
      <c r="Y547" s="167"/>
      <c r="Z547" s="167"/>
      <c r="AA547" s="167"/>
      <c r="AB547" s="167"/>
      <c r="AC547" s="167"/>
      <c r="AD547" s="167"/>
      <c r="AE547" s="167"/>
      <c r="AF547" s="167"/>
      <c r="AG547" s="167"/>
      <c r="AH547" s="167"/>
      <c r="AI547" s="167"/>
      <c r="AJ547" s="167"/>
      <c r="AK547" s="167"/>
      <c r="AL547" s="167"/>
      <c r="AM547" s="167"/>
      <c r="AN547" s="167"/>
      <c r="AO547" s="167"/>
      <c r="AP547" s="160"/>
      <c r="AQ547" s="160"/>
      <c r="AR547" s="160"/>
      <c r="AS547" s="160"/>
      <c r="AT547" s="160"/>
    </row>
    <row r="548" spans="23:46" s="99" customFormat="1" x14ac:dyDescent="0.25">
      <c r="W548" s="160"/>
      <c r="X548" s="160"/>
      <c r="Y548" s="167"/>
      <c r="Z548" s="167"/>
      <c r="AA548" s="167"/>
      <c r="AB548" s="167"/>
      <c r="AC548" s="167"/>
      <c r="AD548" s="167"/>
      <c r="AE548" s="167"/>
      <c r="AF548" s="167"/>
      <c r="AG548" s="167"/>
      <c r="AH548" s="167"/>
      <c r="AI548" s="167"/>
      <c r="AJ548" s="167"/>
      <c r="AK548" s="167"/>
      <c r="AL548" s="167"/>
      <c r="AM548" s="167"/>
      <c r="AN548" s="167"/>
      <c r="AO548" s="167"/>
      <c r="AP548" s="160"/>
      <c r="AQ548" s="160"/>
      <c r="AR548" s="160"/>
      <c r="AS548" s="160"/>
      <c r="AT548" s="160"/>
    </row>
    <row r="549" spans="23:46" s="99" customFormat="1" x14ac:dyDescent="0.25">
      <c r="W549" s="160"/>
      <c r="X549" s="160"/>
      <c r="Y549" s="167"/>
      <c r="Z549" s="167"/>
      <c r="AA549" s="167"/>
      <c r="AB549" s="167"/>
      <c r="AC549" s="167"/>
      <c r="AD549" s="167"/>
      <c r="AE549" s="167"/>
      <c r="AF549" s="167"/>
      <c r="AG549" s="167"/>
      <c r="AH549" s="167"/>
      <c r="AI549" s="167"/>
      <c r="AJ549" s="167"/>
      <c r="AK549" s="167"/>
      <c r="AL549" s="167"/>
      <c r="AM549" s="167"/>
      <c r="AN549" s="167"/>
      <c r="AO549" s="167"/>
      <c r="AP549" s="160"/>
      <c r="AQ549" s="160"/>
      <c r="AR549" s="160"/>
      <c r="AS549" s="160"/>
      <c r="AT549" s="160"/>
    </row>
    <row r="550" spans="23:46" s="99" customFormat="1" x14ac:dyDescent="0.25">
      <c r="W550" s="160"/>
      <c r="X550" s="160"/>
      <c r="Y550" s="167"/>
      <c r="Z550" s="167"/>
      <c r="AA550" s="167"/>
      <c r="AB550" s="167"/>
      <c r="AC550" s="167"/>
      <c r="AD550" s="167"/>
      <c r="AE550" s="167"/>
      <c r="AF550" s="167"/>
      <c r="AG550" s="167"/>
      <c r="AH550" s="167"/>
      <c r="AI550" s="167"/>
      <c r="AJ550" s="167"/>
      <c r="AK550" s="167"/>
      <c r="AL550" s="167"/>
      <c r="AM550" s="167"/>
      <c r="AN550" s="167"/>
      <c r="AO550" s="167"/>
      <c r="AP550" s="160"/>
      <c r="AQ550" s="160"/>
      <c r="AR550" s="160"/>
      <c r="AS550" s="160"/>
      <c r="AT550" s="160"/>
    </row>
    <row r="551" spans="23:46" s="99" customFormat="1" x14ac:dyDescent="0.25">
      <c r="W551" s="160"/>
      <c r="X551" s="160"/>
      <c r="Y551" s="167"/>
      <c r="Z551" s="167"/>
      <c r="AA551" s="167"/>
      <c r="AB551" s="167"/>
      <c r="AC551" s="167"/>
      <c r="AD551" s="167"/>
      <c r="AE551" s="167"/>
      <c r="AF551" s="167"/>
      <c r="AG551" s="167"/>
      <c r="AH551" s="167"/>
      <c r="AI551" s="167"/>
      <c r="AJ551" s="167"/>
      <c r="AK551" s="167"/>
      <c r="AL551" s="167"/>
      <c r="AM551" s="167"/>
      <c r="AN551" s="167"/>
      <c r="AO551" s="167"/>
      <c r="AP551" s="160"/>
      <c r="AQ551" s="160"/>
      <c r="AR551" s="160"/>
      <c r="AS551" s="160"/>
      <c r="AT551" s="160"/>
    </row>
    <row r="552" spans="23:46" s="99" customFormat="1" x14ac:dyDescent="0.25">
      <c r="W552" s="160"/>
      <c r="X552" s="160"/>
      <c r="Y552" s="167"/>
      <c r="Z552" s="167"/>
      <c r="AA552" s="167"/>
      <c r="AB552" s="167"/>
      <c r="AC552" s="167"/>
      <c r="AD552" s="167"/>
      <c r="AE552" s="167"/>
      <c r="AF552" s="167"/>
      <c r="AG552" s="167"/>
      <c r="AH552" s="167"/>
      <c r="AI552" s="167"/>
      <c r="AJ552" s="167"/>
      <c r="AK552" s="167"/>
      <c r="AL552" s="167"/>
      <c r="AM552" s="167"/>
      <c r="AN552" s="167"/>
      <c r="AO552" s="167"/>
      <c r="AP552" s="160"/>
      <c r="AQ552" s="160"/>
      <c r="AR552" s="160"/>
      <c r="AS552" s="160"/>
      <c r="AT552" s="160"/>
    </row>
    <row r="553" spans="23:46" s="99" customFormat="1" x14ac:dyDescent="0.25">
      <c r="W553" s="160"/>
      <c r="X553" s="160"/>
      <c r="Y553" s="167"/>
      <c r="Z553" s="167"/>
      <c r="AA553" s="167"/>
      <c r="AB553" s="167"/>
      <c r="AC553" s="167"/>
      <c r="AD553" s="167"/>
      <c r="AE553" s="167"/>
      <c r="AF553" s="167"/>
      <c r="AG553" s="167"/>
      <c r="AH553" s="167"/>
      <c r="AI553" s="167"/>
      <c r="AJ553" s="167"/>
      <c r="AK553" s="167"/>
      <c r="AL553" s="167"/>
      <c r="AM553" s="167"/>
      <c r="AN553" s="167"/>
      <c r="AO553" s="167"/>
      <c r="AP553" s="160"/>
      <c r="AQ553" s="160"/>
      <c r="AR553" s="160"/>
      <c r="AS553" s="160"/>
      <c r="AT553" s="160"/>
    </row>
    <row r="554" spans="23:46" s="99" customFormat="1" x14ac:dyDescent="0.25">
      <c r="W554" s="160"/>
      <c r="X554" s="160"/>
      <c r="Y554" s="167"/>
      <c r="Z554" s="167"/>
      <c r="AA554" s="167"/>
      <c r="AB554" s="167"/>
      <c r="AC554" s="167"/>
      <c r="AD554" s="167"/>
      <c r="AE554" s="167"/>
      <c r="AF554" s="167"/>
      <c r="AG554" s="167"/>
      <c r="AH554" s="167"/>
      <c r="AI554" s="167"/>
      <c r="AJ554" s="167"/>
      <c r="AK554" s="167"/>
      <c r="AL554" s="167"/>
      <c r="AM554" s="167"/>
      <c r="AN554" s="167"/>
      <c r="AO554" s="167"/>
      <c r="AP554" s="160"/>
      <c r="AQ554" s="160"/>
      <c r="AR554" s="160"/>
      <c r="AS554" s="160"/>
      <c r="AT554" s="160"/>
    </row>
    <row r="555" spans="23:46" s="99" customFormat="1" x14ac:dyDescent="0.25">
      <c r="W555" s="160"/>
      <c r="X555" s="160"/>
      <c r="Y555" s="167"/>
      <c r="Z555" s="167"/>
      <c r="AA555" s="167"/>
      <c r="AB555" s="167"/>
      <c r="AC555" s="167"/>
      <c r="AD555" s="167"/>
      <c r="AE555" s="167"/>
      <c r="AF555" s="167"/>
      <c r="AG555" s="167"/>
      <c r="AH555" s="167"/>
      <c r="AI555" s="167"/>
      <c r="AJ555" s="167"/>
      <c r="AK555" s="167"/>
      <c r="AL555" s="167"/>
      <c r="AM555" s="167"/>
      <c r="AN555" s="167"/>
      <c r="AO555" s="167"/>
      <c r="AP555" s="160"/>
      <c r="AQ555" s="160"/>
      <c r="AR555" s="160"/>
      <c r="AS555" s="160"/>
      <c r="AT555" s="160"/>
    </row>
    <row r="556" spans="23:46" s="99" customFormat="1" x14ac:dyDescent="0.25">
      <c r="W556" s="160"/>
      <c r="X556" s="160"/>
      <c r="Y556" s="167"/>
      <c r="Z556" s="167"/>
      <c r="AA556" s="167"/>
      <c r="AB556" s="167"/>
      <c r="AC556" s="167"/>
      <c r="AD556" s="167"/>
      <c r="AE556" s="167"/>
      <c r="AF556" s="167"/>
      <c r="AG556" s="167"/>
      <c r="AH556" s="167"/>
      <c r="AI556" s="167"/>
      <c r="AJ556" s="167"/>
      <c r="AK556" s="167"/>
      <c r="AL556" s="167"/>
      <c r="AM556" s="167"/>
      <c r="AN556" s="167"/>
      <c r="AO556" s="167"/>
      <c r="AP556" s="160"/>
      <c r="AQ556" s="160"/>
      <c r="AR556" s="160"/>
      <c r="AS556" s="160"/>
      <c r="AT556" s="160"/>
    </row>
    <row r="557" spans="23:46" s="99" customFormat="1" x14ac:dyDescent="0.25">
      <c r="W557" s="160"/>
      <c r="X557" s="160"/>
      <c r="Y557" s="167"/>
      <c r="Z557" s="167"/>
      <c r="AA557" s="167"/>
      <c r="AB557" s="167"/>
      <c r="AC557" s="167"/>
      <c r="AD557" s="167"/>
      <c r="AE557" s="167"/>
      <c r="AF557" s="167"/>
      <c r="AG557" s="167"/>
      <c r="AH557" s="167"/>
      <c r="AI557" s="167"/>
      <c r="AJ557" s="167"/>
      <c r="AK557" s="167"/>
      <c r="AL557" s="167"/>
      <c r="AM557" s="167"/>
      <c r="AN557" s="167"/>
      <c r="AO557" s="167"/>
      <c r="AP557" s="160"/>
      <c r="AQ557" s="160"/>
      <c r="AR557" s="160"/>
      <c r="AS557" s="160"/>
      <c r="AT557" s="160"/>
    </row>
    <row r="558" spans="23:46" s="99" customFormat="1" x14ac:dyDescent="0.25">
      <c r="W558" s="160"/>
      <c r="X558" s="160"/>
      <c r="Y558" s="167"/>
      <c r="Z558" s="167"/>
      <c r="AA558" s="167"/>
      <c r="AB558" s="167"/>
      <c r="AC558" s="167"/>
      <c r="AD558" s="167"/>
      <c r="AE558" s="167"/>
      <c r="AF558" s="167"/>
      <c r="AG558" s="167"/>
      <c r="AH558" s="167"/>
      <c r="AI558" s="167"/>
      <c r="AJ558" s="167"/>
      <c r="AK558" s="167"/>
      <c r="AL558" s="167"/>
      <c r="AM558" s="167"/>
      <c r="AN558" s="167"/>
      <c r="AO558" s="167"/>
      <c r="AP558" s="160"/>
      <c r="AQ558" s="160"/>
      <c r="AR558" s="160"/>
      <c r="AS558" s="160"/>
      <c r="AT558" s="160"/>
    </row>
    <row r="559" spans="23:46" s="99" customFormat="1" x14ac:dyDescent="0.25">
      <c r="W559" s="160"/>
      <c r="X559" s="160"/>
      <c r="Y559" s="167"/>
      <c r="Z559" s="167"/>
      <c r="AA559" s="167"/>
      <c r="AB559" s="167"/>
      <c r="AC559" s="167"/>
      <c r="AD559" s="167"/>
      <c r="AE559" s="167"/>
      <c r="AF559" s="167"/>
      <c r="AG559" s="167"/>
      <c r="AH559" s="167"/>
      <c r="AI559" s="167"/>
      <c r="AJ559" s="167"/>
      <c r="AK559" s="167"/>
      <c r="AL559" s="167"/>
      <c r="AM559" s="167"/>
      <c r="AN559" s="167"/>
      <c r="AO559" s="167"/>
      <c r="AP559" s="160"/>
      <c r="AQ559" s="160"/>
      <c r="AR559" s="160"/>
      <c r="AS559" s="160"/>
      <c r="AT559" s="160"/>
    </row>
    <row r="560" spans="23:46" s="99" customFormat="1" x14ac:dyDescent="0.25">
      <c r="W560" s="160"/>
      <c r="X560" s="160"/>
      <c r="Y560" s="167"/>
      <c r="Z560" s="167"/>
      <c r="AA560" s="167"/>
      <c r="AB560" s="167"/>
      <c r="AC560" s="167"/>
      <c r="AD560" s="167"/>
      <c r="AE560" s="167"/>
      <c r="AF560" s="167"/>
      <c r="AG560" s="167"/>
      <c r="AH560" s="167"/>
      <c r="AI560" s="167"/>
      <c r="AJ560" s="167"/>
      <c r="AK560" s="167"/>
      <c r="AL560" s="167"/>
      <c r="AM560" s="167"/>
      <c r="AN560" s="167"/>
      <c r="AO560" s="167"/>
      <c r="AP560" s="160"/>
      <c r="AQ560" s="160"/>
      <c r="AR560" s="160"/>
      <c r="AS560" s="160"/>
      <c r="AT560" s="160"/>
    </row>
    <row r="561" spans="23:46" s="99" customFormat="1" x14ac:dyDescent="0.25">
      <c r="W561" s="160"/>
      <c r="X561" s="160"/>
      <c r="Y561" s="167"/>
      <c r="Z561" s="167"/>
      <c r="AA561" s="167"/>
      <c r="AB561" s="167"/>
      <c r="AC561" s="167"/>
      <c r="AD561" s="167"/>
      <c r="AE561" s="167"/>
      <c r="AF561" s="167"/>
      <c r="AG561" s="167"/>
      <c r="AH561" s="167"/>
      <c r="AI561" s="167"/>
      <c r="AJ561" s="167"/>
      <c r="AK561" s="167"/>
      <c r="AL561" s="167"/>
      <c r="AM561" s="167"/>
      <c r="AN561" s="167"/>
      <c r="AO561" s="167"/>
      <c r="AP561" s="160"/>
      <c r="AQ561" s="160"/>
      <c r="AR561" s="160"/>
      <c r="AS561" s="160"/>
      <c r="AT561" s="160"/>
    </row>
    <row r="562" spans="23:46" s="99" customFormat="1" x14ac:dyDescent="0.25">
      <c r="W562" s="160"/>
      <c r="X562" s="160"/>
      <c r="Y562" s="167"/>
      <c r="Z562" s="167"/>
      <c r="AA562" s="167"/>
      <c r="AB562" s="167"/>
      <c r="AC562" s="167"/>
      <c r="AD562" s="167"/>
      <c r="AE562" s="167"/>
      <c r="AF562" s="167"/>
      <c r="AG562" s="167"/>
      <c r="AH562" s="167"/>
      <c r="AI562" s="167"/>
      <c r="AJ562" s="167"/>
      <c r="AK562" s="167"/>
      <c r="AL562" s="167"/>
      <c r="AM562" s="167"/>
      <c r="AN562" s="167"/>
      <c r="AO562" s="167"/>
      <c r="AP562" s="160"/>
      <c r="AQ562" s="160"/>
      <c r="AR562" s="160"/>
      <c r="AS562" s="160"/>
      <c r="AT562" s="160"/>
    </row>
    <row r="563" spans="23:46" s="99" customFormat="1" x14ac:dyDescent="0.25">
      <c r="W563" s="160"/>
      <c r="X563" s="160"/>
      <c r="Y563" s="167"/>
      <c r="Z563" s="167"/>
      <c r="AA563" s="167"/>
      <c r="AB563" s="167"/>
      <c r="AC563" s="167"/>
      <c r="AD563" s="167"/>
      <c r="AE563" s="167"/>
      <c r="AF563" s="167"/>
      <c r="AG563" s="167"/>
      <c r="AH563" s="167"/>
      <c r="AI563" s="167"/>
      <c r="AJ563" s="167"/>
      <c r="AK563" s="167"/>
      <c r="AL563" s="167"/>
      <c r="AM563" s="167"/>
      <c r="AN563" s="167"/>
      <c r="AO563" s="167"/>
      <c r="AP563" s="160"/>
      <c r="AQ563" s="160"/>
      <c r="AR563" s="160"/>
      <c r="AS563" s="160"/>
      <c r="AT563" s="160"/>
    </row>
    <row r="564" spans="23:46" s="99" customFormat="1" x14ac:dyDescent="0.25">
      <c r="W564" s="160"/>
      <c r="X564" s="160"/>
      <c r="Y564" s="167"/>
      <c r="Z564" s="167"/>
      <c r="AA564" s="167"/>
      <c r="AB564" s="167"/>
      <c r="AC564" s="167"/>
      <c r="AD564" s="167"/>
      <c r="AE564" s="167"/>
      <c r="AF564" s="167"/>
      <c r="AG564" s="167"/>
      <c r="AH564" s="167"/>
      <c r="AI564" s="167"/>
      <c r="AJ564" s="167"/>
      <c r="AK564" s="167"/>
      <c r="AL564" s="167"/>
      <c r="AM564" s="167"/>
      <c r="AN564" s="167"/>
      <c r="AO564" s="167"/>
      <c r="AP564" s="160"/>
      <c r="AQ564" s="160"/>
      <c r="AR564" s="160"/>
      <c r="AS564" s="160"/>
      <c r="AT564" s="160"/>
    </row>
    <row r="565" spans="23:46" s="99" customFormat="1" x14ac:dyDescent="0.25">
      <c r="W565" s="160"/>
      <c r="X565" s="160"/>
      <c r="Y565" s="167"/>
      <c r="Z565" s="167"/>
      <c r="AA565" s="167"/>
      <c r="AB565" s="167"/>
      <c r="AC565" s="167"/>
      <c r="AD565" s="167"/>
      <c r="AE565" s="167"/>
      <c r="AF565" s="167"/>
      <c r="AG565" s="167"/>
      <c r="AH565" s="167"/>
      <c r="AI565" s="167"/>
      <c r="AJ565" s="167"/>
      <c r="AK565" s="167"/>
      <c r="AL565" s="167"/>
      <c r="AM565" s="167"/>
      <c r="AN565" s="167"/>
      <c r="AO565" s="167"/>
      <c r="AP565" s="160"/>
      <c r="AQ565" s="160"/>
      <c r="AR565" s="160"/>
      <c r="AS565" s="160"/>
      <c r="AT565" s="160"/>
    </row>
    <row r="566" spans="23:46" s="99" customFormat="1" x14ac:dyDescent="0.25">
      <c r="W566" s="160"/>
      <c r="X566" s="160"/>
      <c r="Y566" s="167"/>
      <c r="Z566" s="167"/>
      <c r="AA566" s="167"/>
      <c r="AB566" s="167"/>
      <c r="AC566" s="167"/>
      <c r="AD566" s="167"/>
      <c r="AE566" s="167"/>
      <c r="AF566" s="167"/>
      <c r="AG566" s="167"/>
      <c r="AH566" s="167"/>
      <c r="AI566" s="167"/>
      <c r="AJ566" s="167"/>
      <c r="AK566" s="167"/>
      <c r="AL566" s="167"/>
      <c r="AM566" s="167"/>
      <c r="AN566" s="167"/>
      <c r="AO566" s="167"/>
      <c r="AP566" s="160"/>
      <c r="AQ566" s="160"/>
      <c r="AR566" s="160"/>
      <c r="AS566" s="160"/>
      <c r="AT566" s="160"/>
    </row>
    <row r="567" spans="23:46" s="99" customFormat="1" x14ac:dyDescent="0.25">
      <c r="W567" s="160"/>
      <c r="X567" s="160"/>
      <c r="Y567" s="167"/>
      <c r="Z567" s="167"/>
      <c r="AA567" s="167"/>
      <c r="AB567" s="167"/>
      <c r="AC567" s="167"/>
      <c r="AD567" s="167"/>
      <c r="AE567" s="167"/>
      <c r="AF567" s="167"/>
      <c r="AG567" s="167"/>
      <c r="AH567" s="167"/>
      <c r="AI567" s="167"/>
      <c r="AJ567" s="167"/>
      <c r="AK567" s="167"/>
      <c r="AL567" s="167"/>
      <c r="AM567" s="167"/>
      <c r="AN567" s="167"/>
      <c r="AO567" s="167"/>
      <c r="AP567" s="160"/>
      <c r="AQ567" s="160"/>
      <c r="AR567" s="160"/>
      <c r="AS567" s="160"/>
      <c r="AT567" s="160"/>
    </row>
    <row r="568" spans="23:46" s="99" customFormat="1" x14ac:dyDescent="0.25">
      <c r="W568" s="160"/>
      <c r="X568" s="160"/>
      <c r="Y568" s="167"/>
      <c r="Z568" s="167"/>
      <c r="AA568" s="167"/>
      <c r="AB568" s="167"/>
      <c r="AC568" s="167"/>
      <c r="AD568" s="167"/>
      <c r="AE568" s="167"/>
      <c r="AF568" s="167"/>
      <c r="AG568" s="167"/>
      <c r="AH568" s="167"/>
      <c r="AI568" s="167"/>
      <c r="AJ568" s="167"/>
      <c r="AK568" s="167"/>
      <c r="AL568" s="167"/>
      <c r="AM568" s="167"/>
      <c r="AN568" s="167"/>
      <c r="AO568" s="167"/>
      <c r="AP568" s="160"/>
      <c r="AQ568" s="160"/>
      <c r="AR568" s="160"/>
      <c r="AS568" s="160"/>
      <c r="AT568" s="160"/>
    </row>
    <row r="569" spans="23:46" s="99" customFormat="1" x14ac:dyDescent="0.25">
      <c r="W569" s="160"/>
      <c r="X569" s="160"/>
      <c r="Y569" s="167"/>
      <c r="Z569" s="167"/>
      <c r="AA569" s="167"/>
      <c r="AB569" s="167"/>
      <c r="AC569" s="167"/>
      <c r="AD569" s="167"/>
      <c r="AE569" s="167"/>
      <c r="AF569" s="167"/>
      <c r="AG569" s="167"/>
      <c r="AH569" s="167"/>
      <c r="AI569" s="167"/>
      <c r="AJ569" s="167"/>
      <c r="AK569" s="167"/>
      <c r="AL569" s="167"/>
      <c r="AM569" s="167"/>
      <c r="AN569" s="167"/>
      <c r="AO569" s="167"/>
      <c r="AP569" s="160"/>
      <c r="AQ569" s="160"/>
      <c r="AR569" s="160"/>
      <c r="AS569" s="160"/>
      <c r="AT569" s="160"/>
    </row>
    <row r="570" spans="23:46" s="99" customFormat="1" x14ac:dyDescent="0.25">
      <c r="W570" s="160"/>
      <c r="X570" s="160"/>
      <c r="Y570" s="167"/>
      <c r="Z570" s="167"/>
      <c r="AA570" s="167"/>
      <c r="AB570" s="167"/>
      <c r="AC570" s="167"/>
      <c r="AD570" s="167"/>
      <c r="AE570" s="167"/>
      <c r="AF570" s="167"/>
      <c r="AG570" s="167"/>
      <c r="AH570" s="167"/>
      <c r="AI570" s="167"/>
      <c r="AJ570" s="167"/>
      <c r="AK570" s="167"/>
      <c r="AL570" s="167"/>
      <c r="AM570" s="167"/>
      <c r="AN570" s="167"/>
      <c r="AO570" s="167"/>
      <c r="AP570" s="160"/>
      <c r="AQ570" s="160"/>
      <c r="AR570" s="160"/>
      <c r="AS570" s="160"/>
      <c r="AT570" s="160"/>
    </row>
    <row r="571" spans="23:46" s="99" customFormat="1" x14ac:dyDescent="0.25">
      <c r="W571" s="160"/>
      <c r="X571" s="160"/>
      <c r="Y571" s="167"/>
      <c r="Z571" s="167"/>
      <c r="AA571" s="167"/>
      <c r="AB571" s="167"/>
      <c r="AC571" s="167"/>
      <c r="AD571" s="167"/>
      <c r="AE571" s="167"/>
      <c r="AF571" s="167"/>
      <c r="AG571" s="167"/>
      <c r="AH571" s="167"/>
      <c r="AI571" s="167"/>
      <c r="AJ571" s="167"/>
      <c r="AK571" s="167"/>
      <c r="AL571" s="167"/>
      <c r="AM571" s="167"/>
      <c r="AN571" s="167"/>
      <c r="AO571" s="167"/>
      <c r="AP571" s="160"/>
      <c r="AQ571" s="160"/>
      <c r="AR571" s="160"/>
      <c r="AS571" s="160"/>
      <c r="AT571" s="160"/>
    </row>
    <row r="572" spans="23:46" s="99" customFormat="1" x14ac:dyDescent="0.25">
      <c r="W572" s="160"/>
      <c r="X572" s="160"/>
      <c r="Y572" s="167"/>
      <c r="Z572" s="167"/>
      <c r="AA572" s="167"/>
      <c r="AB572" s="167"/>
      <c r="AC572" s="167"/>
      <c r="AD572" s="167"/>
      <c r="AE572" s="167"/>
      <c r="AF572" s="167"/>
      <c r="AG572" s="167"/>
      <c r="AH572" s="167"/>
      <c r="AI572" s="167"/>
      <c r="AJ572" s="167"/>
      <c r="AK572" s="167"/>
      <c r="AL572" s="167"/>
      <c r="AM572" s="167"/>
      <c r="AN572" s="167"/>
      <c r="AO572" s="167"/>
      <c r="AP572" s="160"/>
      <c r="AQ572" s="160"/>
      <c r="AR572" s="160"/>
      <c r="AS572" s="160"/>
      <c r="AT572" s="160"/>
    </row>
    <row r="573" spans="23:46" s="99" customFormat="1" x14ac:dyDescent="0.25">
      <c r="W573" s="160"/>
      <c r="X573" s="160"/>
      <c r="Y573" s="167"/>
      <c r="Z573" s="167"/>
      <c r="AA573" s="167"/>
      <c r="AB573" s="167"/>
      <c r="AC573" s="167"/>
      <c r="AD573" s="167"/>
      <c r="AE573" s="167"/>
      <c r="AF573" s="167"/>
      <c r="AG573" s="167"/>
      <c r="AH573" s="167"/>
      <c r="AI573" s="167"/>
      <c r="AJ573" s="167"/>
      <c r="AK573" s="167"/>
      <c r="AL573" s="167"/>
      <c r="AM573" s="167"/>
      <c r="AN573" s="167"/>
      <c r="AO573" s="167"/>
      <c r="AP573" s="160"/>
      <c r="AQ573" s="160"/>
      <c r="AR573" s="160"/>
      <c r="AS573" s="160"/>
      <c r="AT573" s="160"/>
    </row>
    <row r="574" spans="23:46" s="99" customFormat="1" x14ac:dyDescent="0.25">
      <c r="W574" s="160"/>
      <c r="X574" s="160"/>
      <c r="Y574" s="167"/>
      <c r="Z574" s="167"/>
      <c r="AA574" s="167"/>
      <c r="AB574" s="167"/>
      <c r="AC574" s="167"/>
      <c r="AD574" s="167"/>
      <c r="AE574" s="167"/>
      <c r="AF574" s="167"/>
      <c r="AG574" s="167"/>
      <c r="AH574" s="167"/>
      <c r="AI574" s="167"/>
      <c r="AJ574" s="167"/>
      <c r="AK574" s="167"/>
      <c r="AL574" s="167"/>
      <c r="AM574" s="167"/>
      <c r="AN574" s="167"/>
      <c r="AO574" s="167"/>
      <c r="AP574" s="160"/>
      <c r="AQ574" s="160"/>
      <c r="AR574" s="160"/>
      <c r="AS574" s="160"/>
      <c r="AT574" s="160"/>
    </row>
    <row r="575" spans="23:46" s="99" customFormat="1" x14ac:dyDescent="0.25">
      <c r="W575" s="160"/>
      <c r="X575" s="160"/>
      <c r="Y575" s="167"/>
      <c r="Z575" s="167"/>
      <c r="AA575" s="167"/>
      <c r="AB575" s="167"/>
      <c r="AC575" s="167"/>
      <c r="AD575" s="167"/>
      <c r="AE575" s="167"/>
      <c r="AF575" s="167"/>
      <c r="AG575" s="167"/>
      <c r="AH575" s="167"/>
      <c r="AI575" s="167"/>
      <c r="AJ575" s="167"/>
      <c r="AK575" s="167"/>
      <c r="AL575" s="167"/>
      <c r="AM575" s="167"/>
      <c r="AN575" s="167"/>
      <c r="AO575" s="167"/>
      <c r="AP575" s="160"/>
      <c r="AQ575" s="160"/>
      <c r="AR575" s="160"/>
      <c r="AS575" s="160"/>
      <c r="AT575" s="160"/>
    </row>
    <row r="576" spans="23:46" s="99" customFormat="1" x14ac:dyDescent="0.25">
      <c r="W576" s="160"/>
      <c r="X576" s="160"/>
      <c r="Y576" s="167"/>
      <c r="Z576" s="167"/>
      <c r="AA576" s="167"/>
      <c r="AB576" s="167"/>
      <c r="AC576" s="167"/>
      <c r="AD576" s="167"/>
      <c r="AE576" s="167"/>
      <c r="AF576" s="167"/>
      <c r="AG576" s="167"/>
      <c r="AH576" s="167"/>
      <c r="AI576" s="167"/>
      <c r="AJ576" s="167"/>
      <c r="AK576" s="167"/>
      <c r="AL576" s="167"/>
      <c r="AM576" s="167"/>
      <c r="AN576" s="167"/>
      <c r="AO576" s="167"/>
      <c r="AP576" s="160"/>
      <c r="AQ576" s="160"/>
      <c r="AR576" s="160"/>
      <c r="AS576" s="160"/>
      <c r="AT576" s="160"/>
    </row>
    <row r="577" spans="23:46" s="99" customFormat="1" x14ac:dyDescent="0.25">
      <c r="W577" s="160"/>
      <c r="X577" s="160"/>
      <c r="Y577" s="167"/>
      <c r="Z577" s="167"/>
      <c r="AA577" s="167"/>
      <c r="AB577" s="167"/>
      <c r="AC577" s="167"/>
      <c r="AD577" s="167"/>
      <c r="AE577" s="167"/>
      <c r="AF577" s="167"/>
      <c r="AG577" s="167"/>
      <c r="AH577" s="167"/>
      <c r="AI577" s="167"/>
      <c r="AJ577" s="167"/>
      <c r="AK577" s="167"/>
      <c r="AL577" s="167"/>
      <c r="AM577" s="167"/>
      <c r="AN577" s="167"/>
      <c r="AO577" s="167"/>
      <c r="AP577" s="160"/>
      <c r="AQ577" s="160"/>
      <c r="AR577" s="160"/>
      <c r="AS577" s="160"/>
      <c r="AT577" s="160"/>
    </row>
    <row r="578" spans="23:46" s="99" customFormat="1" x14ac:dyDescent="0.25">
      <c r="W578" s="160"/>
      <c r="X578" s="160"/>
      <c r="Y578" s="167"/>
      <c r="Z578" s="167"/>
      <c r="AA578" s="167"/>
      <c r="AB578" s="167"/>
      <c r="AC578" s="167"/>
      <c r="AD578" s="167"/>
      <c r="AE578" s="167"/>
      <c r="AF578" s="167"/>
      <c r="AG578" s="167"/>
      <c r="AH578" s="167"/>
      <c r="AI578" s="167"/>
      <c r="AJ578" s="167"/>
      <c r="AK578" s="167"/>
      <c r="AL578" s="167"/>
      <c r="AM578" s="167"/>
      <c r="AN578" s="167"/>
      <c r="AO578" s="167"/>
      <c r="AP578" s="160"/>
      <c r="AQ578" s="160"/>
      <c r="AR578" s="160"/>
      <c r="AS578" s="160"/>
      <c r="AT578" s="160"/>
    </row>
    <row r="579" spans="23:46" s="99" customFormat="1" x14ac:dyDescent="0.25">
      <c r="W579" s="160"/>
      <c r="X579" s="160"/>
      <c r="Y579" s="167"/>
      <c r="Z579" s="167"/>
      <c r="AA579" s="167"/>
      <c r="AB579" s="167"/>
      <c r="AC579" s="167"/>
      <c r="AD579" s="167"/>
      <c r="AE579" s="167"/>
      <c r="AF579" s="167"/>
      <c r="AG579" s="167"/>
      <c r="AH579" s="167"/>
      <c r="AI579" s="167"/>
      <c r="AJ579" s="167"/>
      <c r="AK579" s="167"/>
      <c r="AL579" s="167"/>
      <c r="AM579" s="167"/>
      <c r="AN579" s="167"/>
      <c r="AO579" s="167"/>
      <c r="AP579" s="160"/>
      <c r="AQ579" s="160"/>
      <c r="AR579" s="160"/>
      <c r="AS579" s="160"/>
      <c r="AT579" s="160"/>
    </row>
    <row r="580" spans="23:46" s="99" customFormat="1" x14ac:dyDescent="0.25">
      <c r="W580" s="160"/>
      <c r="X580" s="160"/>
      <c r="Y580" s="167"/>
      <c r="Z580" s="167"/>
      <c r="AA580" s="167"/>
      <c r="AB580" s="167"/>
      <c r="AC580" s="167"/>
      <c r="AD580" s="167"/>
      <c r="AE580" s="167"/>
      <c r="AF580" s="167"/>
      <c r="AG580" s="167"/>
      <c r="AH580" s="167"/>
      <c r="AI580" s="167"/>
      <c r="AJ580" s="167"/>
      <c r="AK580" s="167"/>
      <c r="AL580" s="167"/>
      <c r="AM580" s="167"/>
      <c r="AN580" s="167"/>
      <c r="AO580" s="167"/>
      <c r="AP580" s="160"/>
      <c r="AQ580" s="160"/>
      <c r="AR580" s="160"/>
      <c r="AS580" s="160"/>
      <c r="AT580" s="160"/>
    </row>
    <row r="581" spans="23:46" s="99" customFormat="1" x14ac:dyDescent="0.25">
      <c r="W581" s="160"/>
      <c r="X581" s="160"/>
      <c r="Y581" s="167"/>
      <c r="Z581" s="167"/>
      <c r="AA581" s="167"/>
      <c r="AB581" s="167"/>
      <c r="AC581" s="167"/>
      <c r="AD581" s="167"/>
      <c r="AE581" s="167"/>
      <c r="AF581" s="167"/>
      <c r="AG581" s="167"/>
      <c r="AH581" s="167"/>
      <c r="AI581" s="167"/>
      <c r="AJ581" s="167"/>
      <c r="AK581" s="167"/>
      <c r="AL581" s="167"/>
      <c r="AM581" s="167"/>
      <c r="AN581" s="167"/>
      <c r="AO581" s="167"/>
      <c r="AP581" s="160"/>
      <c r="AQ581" s="160"/>
      <c r="AR581" s="160"/>
      <c r="AS581" s="160"/>
      <c r="AT581" s="160"/>
    </row>
    <row r="582" spans="23:46" s="99" customFormat="1" x14ac:dyDescent="0.25">
      <c r="W582" s="160"/>
      <c r="X582" s="160"/>
      <c r="Y582" s="167"/>
      <c r="Z582" s="167"/>
      <c r="AA582" s="167"/>
      <c r="AB582" s="167"/>
      <c r="AC582" s="167"/>
      <c r="AD582" s="167"/>
      <c r="AE582" s="167"/>
      <c r="AF582" s="167"/>
      <c r="AG582" s="167"/>
      <c r="AH582" s="167"/>
      <c r="AI582" s="167"/>
      <c r="AJ582" s="167"/>
      <c r="AK582" s="167"/>
      <c r="AL582" s="167"/>
      <c r="AM582" s="167"/>
      <c r="AN582" s="167"/>
      <c r="AO582" s="167"/>
      <c r="AP582" s="160"/>
      <c r="AQ582" s="160"/>
      <c r="AR582" s="160"/>
      <c r="AS582" s="160"/>
      <c r="AT582" s="160"/>
    </row>
    <row r="583" spans="23:46" s="99" customFormat="1" x14ac:dyDescent="0.25">
      <c r="W583" s="160"/>
      <c r="X583" s="160"/>
      <c r="Y583" s="167"/>
      <c r="Z583" s="167"/>
      <c r="AA583" s="167"/>
      <c r="AB583" s="167"/>
      <c r="AC583" s="167"/>
      <c r="AD583" s="167"/>
      <c r="AE583" s="167"/>
      <c r="AF583" s="167"/>
      <c r="AG583" s="167"/>
      <c r="AH583" s="167"/>
      <c r="AI583" s="167"/>
      <c r="AJ583" s="167"/>
      <c r="AK583" s="167"/>
      <c r="AL583" s="167"/>
      <c r="AM583" s="167"/>
      <c r="AN583" s="167"/>
      <c r="AO583" s="167"/>
      <c r="AP583" s="160"/>
      <c r="AQ583" s="160"/>
      <c r="AR583" s="160"/>
      <c r="AS583" s="160"/>
      <c r="AT583" s="160"/>
    </row>
    <row r="584" spans="23:46" s="99" customFormat="1" x14ac:dyDescent="0.25">
      <c r="W584" s="160"/>
      <c r="X584" s="160"/>
      <c r="Y584" s="167"/>
      <c r="Z584" s="167"/>
      <c r="AA584" s="167"/>
      <c r="AB584" s="167"/>
      <c r="AC584" s="167"/>
      <c r="AD584" s="167"/>
      <c r="AE584" s="167"/>
      <c r="AF584" s="167"/>
      <c r="AG584" s="167"/>
      <c r="AH584" s="167"/>
      <c r="AI584" s="167"/>
      <c r="AJ584" s="167"/>
      <c r="AK584" s="167"/>
      <c r="AL584" s="167"/>
      <c r="AM584" s="167"/>
      <c r="AN584" s="167"/>
      <c r="AO584" s="167"/>
      <c r="AP584" s="160"/>
      <c r="AQ584" s="160"/>
      <c r="AR584" s="160"/>
      <c r="AS584" s="160"/>
      <c r="AT584" s="160"/>
    </row>
    <row r="585" spans="23:46" s="99" customFormat="1" x14ac:dyDescent="0.25">
      <c r="W585" s="160"/>
      <c r="X585" s="160"/>
      <c r="Y585" s="167"/>
      <c r="Z585" s="167"/>
      <c r="AA585" s="167"/>
      <c r="AB585" s="167"/>
      <c r="AC585" s="167"/>
      <c r="AD585" s="167"/>
      <c r="AE585" s="167"/>
      <c r="AF585" s="167"/>
      <c r="AG585" s="167"/>
      <c r="AH585" s="167"/>
      <c r="AI585" s="167"/>
      <c r="AJ585" s="167"/>
      <c r="AK585" s="167"/>
      <c r="AL585" s="167"/>
      <c r="AM585" s="167"/>
      <c r="AN585" s="167"/>
      <c r="AO585" s="167"/>
      <c r="AP585" s="160"/>
      <c r="AQ585" s="160"/>
      <c r="AR585" s="160"/>
      <c r="AS585" s="160"/>
      <c r="AT585" s="160"/>
    </row>
    <row r="586" spans="23:46" s="99" customFormat="1" x14ac:dyDescent="0.25">
      <c r="W586" s="160"/>
      <c r="X586" s="160"/>
      <c r="Y586" s="167"/>
      <c r="Z586" s="167"/>
      <c r="AA586" s="167"/>
      <c r="AB586" s="167"/>
      <c r="AC586" s="167"/>
      <c r="AD586" s="167"/>
      <c r="AE586" s="167"/>
      <c r="AF586" s="167"/>
      <c r="AG586" s="167"/>
      <c r="AH586" s="167"/>
      <c r="AI586" s="167"/>
      <c r="AJ586" s="167"/>
      <c r="AK586" s="167"/>
      <c r="AL586" s="167"/>
      <c r="AM586" s="167"/>
      <c r="AN586" s="167"/>
      <c r="AO586" s="167"/>
      <c r="AP586" s="160"/>
      <c r="AQ586" s="160"/>
      <c r="AR586" s="160"/>
      <c r="AS586" s="160"/>
      <c r="AT586" s="160"/>
    </row>
    <row r="587" spans="23:46" s="99" customFormat="1" x14ac:dyDescent="0.25">
      <c r="W587" s="160"/>
      <c r="X587" s="160"/>
      <c r="Y587" s="167"/>
      <c r="Z587" s="167"/>
      <c r="AA587" s="167"/>
      <c r="AB587" s="167"/>
      <c r="AC587" s="167"/>
      <c r="AD587" s="167"/>
      <c r="AE587" s="167"/>
      <c r="AF587" s="167"/>
      <c r="AG587" s="167"/>
      <c r="AH587" s="167"/>
      <c r="AI587" s="167"/>
      <c r="AJ587" s="167"/>
      <c r="AK587" s="167"/>
      <c r="AL587" s="167"/>
      <c r="AM587" s="167"/>
      <c r="AN587" s="167"/>
      <c r="AO587" s="167"/>
      <c r="AP587" s="160"/>
      <c r="AQ587" s="160"/>
      <c r="AR587" s="160"/>
      <c r="AS587" s="160"/>
      <c r="AT587" s="160"/>
    </row>
    <row r="588" spans="23:46" s="99" customFormat="1" x14ac:dyDescent="0.25">
      <c r="W588" s="160"/>
      <c r="X588" s="160"/>
      <c r="Y588" s="167"/>
      <c r="Z588" s="167"/>
      <c r="AA588" s="167"/>
      <c r="AB588" s="167"/>
      <c r="AC588" s="167"/>
      <c r="AD588" s="167"/>
      <c r="AE588" s="167"/>
      <c r="AF588" s="167"/>
      <c r="AG588" s="167"/>
      <c r="AH588" s="167"/>
      <c r="AI588" s="167"/>
      <c r="AJ588" s="167"/>
      <c r="AK588" s="167"/>
      <c r="AL588" s="167"/>
      <c r="AM588" s="167"/>
      <c r="AN588" s="167"/>
      <c r="AO588" s="167"/>
      <c r="AP588" s="160"/>
      <c r="AQ588" s="160"/>
      <c r="AR588" s="160"/>
      <c r="AS588" s="160"/>
      <c r="AT588" s="160"/>
    </row>
    <row r="589" spans="23:46" s="99" customFormat="1" x14ac:dyDescent="0.25">
      <c r="W589" s="160"/>
      <c r="X589" s="160"/>
      <c r="Y589" s="167"/>
      <c r="Z589" s="167"/>
      <c r="AA589" s="167"/>
      <c r="AB589" s="167"/>
      <c r="AC589" s="167"/>
      <c r="AD589" s="167"/>
      <c r="AE589" s="167"/>
      <c r="AF589" s="167"/>
      <c r="AG589" s="167"/>
      <c r="AH589" s="167"/>
      <c r="AI589" s="167"/>
      <c r="AJ589" s="167"/>
      <c r="AK589" s="167"/>
      <c r="AL589" s="167"/>
      <c r="AM589" s="167"/>
      <c r="AN589" s="167"/>
      <c r="AO589" s="167"/>
      <c r="AP589" s="160"/>
      <c r="AQ589" s="160"/>
      <c r="AR589" s="160"/>
      <c r="AS589" s="160"/>
      <c r="AT589" s="160"/>
    </row>
    <row r="590" spans="23:46" s="99" customFormat="1" x14ac:dyDescent="0.25">
      <c r="W590" s="160"/>
      <c r="X590" s="160"/>
      <c r="Y590" s="167"/>
      <c r="Z590" s="167"/>
      <c r="AA590" s="167"/>
      <c r="AB590" s="167"/>
      <c r="AC590" s="167"/>
      <c r="AD590" s="167"/>
      <c r="AE590" s="167"/>
      <c r="AF590" s="167"/>
      <c r="AG590" s="167"/>
      <c r="AH590" s="167"/>
      <c r="AI590" s="167"/>
      <c r="AJ590" s="167"/>
      <c r="AK590" s="167"/>
      <c r="AL590" s="167"/>
      <c r="AM590" s="167"/>
      <c r="AN590" s="167"/>
      <c r="AO590" s="167"/>
      <c r="AP590" s="160"/>
      <c r="AQ590" s="160"/>
      <c r="AR590" s="160"/>
      <c r="AS590" s="160"/>
      <c r="AT590" s="160"/>
    </row>
    <row r="591" spans="23:46" s="99" customFormat="1" x14ac:dyDescent="0.25">
      <c r="W591" s="160"/>
      <c r="X591" s="160"/>
      <c r="Y591" s="167"/>
      <c r="Z591" s="167"/>
      <c r="AA591" s="167"/>
      <c r="AB591" s="167"/>
      <c r="AC591" s="167"/>
      <c r="AD591" s="167"/>
      <c r="AE591" s="167"/>
      <c r="AF591" s="167"/>
      <c r="AG591" s="167"/>
      <c r="AH591" s="167"/>
      <c r="AI591" s="167"/>
      <c r="AJ591" s="167"/>
      <c r="AK591" s="167"/>
      <c r="AL591" s="167"/>
      <c r="AM591" s="167"/>
      <c r="AN591" s="167"/>
      <c r="AO591" s="167"/>
      <c r="AP591" s="160"/>
      <c r="AQ591" s="160"/>
      <c r="AR591" s="160"/>
      <c r="AS591" s="160"/>
      <c r="AT591" s="160"/>
    </row>
    <row r="592" spans="23:46" s="99" customFormat="1" x14ac:dyDescent="0.25">
      <c r="W592" s="160"/>
      <c r="X592" s="160"/>
      <c r="Y592" s="167"/>
      <c r="Z592" s="167"/>
      <c r="AA592" s="167"/>
      <c r="AB592" s="167"/>
      <c r="AC592" s="167"/>
      <c r="AD592" s="167"/>
      <c r="AE592" s="167"/>
      <c r="AF592" s="167"/>
      <c r="AG592" s="167"/>
      <c r="AH592" s="167"/>
      <c r="AI592" s="167"/>
      <c r="AJ592" s="167"/>
      <c r="AK592" s="167"/>
      <c r="AL592" s="167"/>
      <c r="AM592" s="167"/>
      <c r="AN592" s="167"/>
      <c r="AO592" s="167"/>
      <c r="AP592" s="160"/>
      <c r="AQ592" s="160"/>
      <c r="AR592" s="160"/>
      <c r="AS592" s="160"/>
      <c r="AT592" s="160"/>
    </row>
    <row r="593" spans="23:46" s="99" customFormat="1" x14ac:dyDescent="0.25">
      <c r="W593" s="160"/>
      <c r="X593" s="160"/>
      <c r="Y593" s="167"/>
      <c r="Z593" s="167"/>
      <c r="AA593" s="167"/>
      <c r="AB593" s="167"/>
      <c r="AC593" s="167"/>
      <c r="AD593" s="167"/>
      <c r="AE593" s="167"/>
      <c r="AF593" s="167"/>
      <c r="AG593" s="167"/>
      <c r="AH593" s="167"/>
      <c r="AI593" s="167"/>
      <c r="AJ593" s="167"/>
      <c r="AK593" s="167"/>
      <c r="AL593" s="167"/>
      <c r="AM593" s="167"/>
      <c r="AN593" s="167"/>
      <c r="AO593" s="167"/>
      <c r="AP593" s="160"/>
      <c r="AQ593" s="160"/>
      <c r="AR593" s="160"/>
      <c r="AS593" s="160"/>
      <c r="AT593" s="160"/>
    </row>
    <row r="594" spans="23:46" s="99" customFormat="1" x14ac:dyDescent="0.25">
      <c r="W594" s="160"/>
      <c r="X594" s="160"/>
      <c r="Y594" s="167"/>
      <c r="Z594" s="167"/>
      <c r="AA594" s="167"/>
      <c r="AB594" s="167"/>
      <c r="AC594" s="167"/>
      <c r="AD594" s="167"/>
      <c r="AE594" s="167"/>
      <c r="AF594" s="167"/>
      <c r="AG594" s="167"/>
      <c r="AH594" s="167"/>
      <c r="AI594" s="167"/>
      <c r="AJ594" s="167"/>
      <c r="AK594" s="167"/>
      <c r="AL594" s="167"/>
      <c r="AM594" s="167"/>
      <c r="AN594" s="167"/>
      <c r="AO594" s="167"/>
      <c r="AP594" s="160"/>
      <c r="AQ594" s="160"/>
      <c r="AR594" s="160"/>
      <c r="AS594" s="160"/>
      <c r="AT594" s="160"/>
    </row>
    <row r="595" spans="23:46" s="99" customFormat="1" x14ac:dyDescent="0.25">
      <c r="W595" s="160"/>
      <c r="X595" s="160"/>
      <c r="Y595" s="167"/>
      <c r="Z595" s="167"/>
      <c r="AA595" s="167"/>
      <c r="AB595" s="167"/>
      <c r="AC595" s="167"/>
      <c r="AD595" s="167"/>
      <c r="AE595" s="167"/>
      <c r="AF595" s="167"/>
      <c r="AG595" s="167"/>
      <c r="AH595" s="167"/>
      <c r="AI595" s="167"/>
      <c r="AJ595" s="167"/>
      <c r="AK595" s="167"/>
      <c r="AL595" s="167"/>
      <c r="AM595" s="167"/>
      <c r="AN595" s="167"/>
      <c r="AO595" s="167"/>
      <c r="AP595" s="160"/>
      <c r="AQ595" s="160"/>
      <c r="AR595" s="160"/>
      <c r="AS595" s="160"/>
      <c r="AT595" s="160"/>
    </row>
    <row r="596" spans="23:46" s="99" customFormat="1" x14ac:dyDescent="0.25">
      <c r="W596" s="160"/>
      <c r="X596" s="160"/>
      <c r="Y596" s="167"/>
      <c r="Z596" s="167"/>
      <c r="AA596" s="167"/>
      <c r="AB596" s="167"/>
      <c r="AC596" s="167"/>
      <c r="AD596" s="167"/>
      <c r="AE596" s="167"/>
      <c r="AF596" s="167"/>
      <c r="AG596" s="167"/>
      <c r="AH596" s="167"/>
      <c r="AI596" s="167"/>
      <c r="AJ596" s="167"/>
      <c r="AK596" s="167"/>
      <c r="AL596" s="167"/>
      <c r="AM596" s="167"/>
      <c r="AN596" s="167"/>
      <c r="AO596" s="167"/>
      <c r="AP596" s="160"/>
      <c r="AQ596" s="160"/>
      <c r="AR596" s="160"/>
      <c r="AS596" s="160"/>
      <c r="AT596" s="160"/>
    </row>
    <row r="597" spans="23:46" s="99" customFormat="1" x14ac:dyDescent="0.25">
      <c r="W597" s="160"/>
      <c r="X597" s="160"/>
      <c r="Y597" s="167"/>
      <c r="Z597" s="167"/>
      <c r="AA597" s="167"/>
      <c r="AB597" s="167"/>
      <c r="AC597" s="167"/>
      <c r="AD597" s="167"/>
      <c r="AE597" s="167"/>
      <c r="AF597" s="167"/>
      <c r="AG597" s="167"/>
      <c r="AH597" s="167"/>
      <c r="AI597" s="167"/>
      <c r="AJ597" s="167"/>
      <c r="AK597" s="167"/>
      <c r="AL597" s="167"/>
      <c r="AM597" s="167"/>
      <c r="AN597" s="167"/>
      <c r="AO597" s="167"/>
      <c r="AP597" s="160"/>
      <c r="AQ597" s="160"/>
      <c r="AR597" s="160"/>
      <c r="AS597" s="160"/>
      <c r="AT597" s="160"/>
    </row>
    <row r="598" spans="23:46" s="99" customFormat="1" x14ac:dyDescent="0.25">
      <c r="W598" s="160"/>
      <c r="X598" s="160"/>
      <c r="Y598" s="167"/>
      <c r="Z598" s="167"/>
      <c r="AA598" s="167"/>
      <c r="AB598" s="167"/>
      <c r="AC598" s="167"/>
      <c r="AD598" s="167"/>
      <c r="AE598" s="167"/>
      <c r="AF598" s="167"/>
      <c r="AG598" s="167"/>
      <c r="AH598" s="167"/>
      <c r="AI598" s="167"/>
      <c r="AJ598" s="167"/>
      <c r="AK598" s="167"/>
      <c r="AL598" s="167"/>
      <c r="AM598" s="167"/>
      <c r="AN598" s="167"/>
      <c r="AO598" s="167"/>
      <c r="AP598" s="160"/>
      <c r="AQ598" s="160"/>
      <c r="AR598" s="160"/>
      <c r="AS598" s="160"/>
      <c r="AT598" s="160"/>
    </row>
    <row r="599" spans="23:46" s="99" customFormat="1" x14ac:dyDescent="0.25">
      <c r="W599" s="160"/>
      <c r="X599" s="160"/>
      <c r="Y599" s="167"/>
      <c r="Z599" s="167"/>
      <c r="AA599" s="167"/>
      <c r="AB599" s="167"/>
      <c r="AC599" s="167"/>
      <c r="AD599" s="167"/>
      <c r="AE599" s="167"/>
      <c r="AF599" s="167"/>
      <c r="AG599" s="167"/>
      <c r="AH599" s="167"/>
      <c r="AI599" s="167"/>
      <c r="AJ599" s="167"/>
      <c r="AK599" s="167"/>
      <c r="AL599" s="167"/>
      <c r="AM599" s="167"/>
      <c r="AN599" s="167"/>
      <c r="AO599" s="167"/>
      <c r="AP599" s="160"/>
      <c r="AQ599" s="160"/>
      <c r="AR599" s="160"/>
      <c r="AS599" s="160"/>
      <c r="AT599" s="160"/>
    </row>
    <row r="600" spans="23:46" s="99" customFormat="1" x14ac:dyDescent="0.25">
      <c r="W600" s="160"/>
      <c r="X600" s="160"/>
      <c r="Y600" s="167"/>
      <c r="Z600" s="167"/>
      <c r="AA600" s="167"/>
      <c r="AB600" s="167"/>
      <c r="AC600" s="167"/>
      <c r="AD600" s="167"/>
      <c r="AE600" s="167"/>
      <c r="AF600" s="167"/>
      <c r="AG600" s="167"/>
      <c r="AH600" s="167"/>
      <c r="AI600" s="167"/>
      <c r="AJ600" s="167"/>
      <c r="AK600" s="167"/>
      <c r="AL600" s="167"/>
      <c r="AM600" s="167"/>
      <c r="AN600" s="167"/>
      <c r="AO600" s="167"/>
      <c r="AP600" s="160"/>
      <c r="AQ600" s="160"/>
      <c r="AR600" s="160"/>
      <c r="AS600" s="160"/>
      <c r="AT600" s="160"/>
    </row>
    <row r="601" spans="23:46" s="99" customFormat="1" x14ac:dyDescent="0.25">
      <c r="W601" s="160"/>
      <c r="X601" s="160"/>
      <c r="Y601" s="167"/>
      <c r="Z601" s="167"/>
      <c r="AA601" s="167"/>
      <c r="AB601" s="167"/>
      <c r="AC601" s="167"/>
      <c r="AD601" s="167"/>
      <c r="AE601" s="167"/>
      <c r="AF601" s="167"/>
      <c r="AG601" s="167"/>
      <c r="AH601" s="167"/>
      <c r="AI601" s="167"/>
      <c r="AJ601" s="167"/>
      <c r="AK601" s="167"/>
      <c r="AL601" s="167"/>
      <c r="AM601" s="167"/>
      <c r="AN601" s="167"/>
      <c r="AO601" s="167"/>
      <c r="AP601" s="160"/>
      <c r="AQ601" s="160"/>
      <c r="AR601" s="160"/>
      <c r="AS601" s="160"/>
      <c r="AT601" s="160"/>
    </row>
    <row r="602" spans="23:46" s="99" customFormat="1" x14ac:dyDescent="0.25">
      <c r="W602" s="160"/>
      <c r="X602" s="160"/>
      <c r="Y602" s="167"/>
      <c r="Z602" s="167"/>
      <c r="AA602" s="167"/>
      <c r="AB602" s="167"/>
      <c r="AC602" s="167"/>
      <c r="AD602" s="167"/>
      <c r="AE602" s="167"/>
      <c r="AF602" s="167"/>
      <c r="AG602" s="167"/>
      <c r="AH602" s="167"/>
      <c r="AI602" s="167"/>
      <c r="AJ602" s="167"/>
      <c r="AK602" s="167"/>
      <c r="AL602" s="167"/>
      <c r="AM602" s="167"/>
      <c r="AN602" s="167"/>
      <c r="AO602" s="167"/>
      <c r="AP602" s="160"/>
      <c r="AQ602" s="160"/>
      <c r="AR602" s="160"/>
      <c r="AS602" s="160"/>
      <c r="AT602" s="160"/>
    </row>
    <row r="603" spans="23:46" s="99" customFormat="1" x14ac:dyDescent="0.25">
      <c r="W603" s="160"/>
      <c r="X603" s="160"/>
      <c r="Y603" s="167"/>
      <c r="Z603" s="167"/>
      <c r="AA603" s="167"/>
      <c r="AB603" s="167"/>
      <c r="AC603" s="167"/>
      <c r="AD603" s="167"/>
      <c r="AE603" s="167"/>
      <c r="AF603" s="167"/>
      <c r="AG603" s="167"/>
      <c r="AH603" s="167"/>
      <c r="AI603" s="167"/>
      <c r="AJ603" s="167"/>
      <c r="AK603" s="167"/>
      <c r="AL603" s="167"/>
      <c r="AM603" s="167"/>
      <c r="AN603" s="167"/>
      <c r="AO603" s="167"/>
      <c r="AP603" s="160"/>
      <c r="AQ603" s="160"/>
      <c r="AR603" s="160"/>
      <c r="AS603" s="160"/>
      <c r="AT603" s="160"/>
    </row>
    <row r="604" spans="23:46" s="99" customFormat="1" x14ac:dyDescent="0.25">
      <c r="W604" s="160"/>
      <c r="X604" s="160"/>
      <c r="Y604" s="167"/>
      <c r="Z604" s="167"/>
      <c r="AA604" s="167"/>
      <c r="AB604" s="167"/>
      <c r="AC604" s="167"/>
      <c r="AD604" s="167"/>
      <c r="AE604" s="167"/>
      <c r="AF604" s="167"/>
      <c r="AG604" s="167"/>
      <c r="AH604" s="167"/>
      <c r="AI604" s="167"/>
      <c r="AJ604" s="167"/>
      <c r="AK604" s="167"/>
      <c r="AL604" s="167"/>
      <c r="AM604" s="167"/>
      <c r="AN604" s="167"/>
      <c r="AO604" s="167"/>
      <c r="AP604" s="160"/>
      <c r="AQ604" s="160"/>
      <c r="AR604" s="160"/>
      <c r="AS604" s="160"/>
      <c r="AT604" s="160"/>
    </row>
    <row r="605" spans="23:46" s="99" customFormat="1" x14ac:dyDescent="0.25">
      <c r="W605" s="160"/>
      <c r="X605" s="160"/>
      <c r="Y605" s="167"/>
      <c r="Z605" s="167"/>
      <c r="AA605" s="167"/>
      <c r="AB605" s="167"/>
      <c r="AC605" s="167"/>
      <c r="AD605" s="167"/>
      <c r="AE605" s="167"/>
      <c r="AF605" s="167"/>
      <c r="AG605" s="167"/>
      <c r="AH605" s="167"/>
      <c r="AI605" s="167"/>
      <c r="AJ605" s="167"/>
      <c r="AK605" s="167"/>
      <c r="AL605" s="167"/>
      <c r="AM605" s="167"/>
      <c r="AN605" s="167"/>
      <c r="AO605" s="167"/>
      <c r="AP605" s="160"/>
      <c r="AQ605" s="160"/>
      <c r="AR605" s="160"/>
      <c r="AS605" s="160"/>
      <c r="AT605" s="160"/>
    </row>
    <row r="606" spans="23:46" s="99" customFormat="1" x14ac:dyDescent="0.25">
      <c r="W606" s="160"/>
      <c r="X606" s="160"/>
      <c r="Y606" s="167"/>
      <c r="Z606" s="167"/>
      <c r="AA606" s="167"/>
      <c r="AB606" s="167"/>
      <c r="AC606" s="167"/>
      <c r="AD606" s="167"/>
      <c r="AE606" s="167"/>
      <c r="AF606" s="167"/>
      <c r="AG606" s="167"/>
      <c r="AH606" s="167"/>
      <c r="AI606" s="167"/>
      <c r="AJ606" s="167"/>
      <c r="AK606" s="167"/>
      <c r="AL606" s="167"/>
      <c r="AM606" s="167"/>
      <c r="AN606" s="167"/>
      <c r="AO606" s="167"/>
      <c r="AP606" s="160"/>
      <c r="AQ606" s="160"/>
      <c r="AR606" s="160"/>
      <c r="AS606" s="160"/>
      <c r="AT606" s="160"/>
    </row>
    <row r="607" spans="23:46" s="99" customFormat="1" x14ac:dyDescent="0.25">
      <c r="W607" s="160"/>
      <c r="X607" s="160"/>
      <c r="Y607" s="167"/>
      <c r="Z607" s="167"/>
      <c r="AA607" s="167"/>
      <c r="AB607" s="167"/>
      <c r="AC607" s="167"/>
      <c r="AD607" s="167"/>
      <c r="AE607" s="167"/>
      <c r="AF607" s="167"/>
      <c r="AG607" s="167"/>
      <c r="AH607" s="167"/>
      <c r="AI607" s="167"/>
      <c r="AJ607" s="167"/>
      <c r="AK607" s="167"/>
      <c r="AL607" s="167"/>
      <c r="AM607" s="167"/>
      <c r="AN607" s="167"/>
      <c r="AO607" s="167"/>
      <c r="AP607" s="160"/>
      <c r="AQ607" s="160"/>
      <c r="AR607" s="160"/>
      <c r="AS607" s="160"/>
      <c r="AT607" s="160"/>
    </row>
    <row r="608" spans="23:46" s="99" customFormat="1" x14ac:dyDescent="0.25">
      <c r="W608" s="160"/>
      <c r="X608" s="160"/>
      <c r="Y608" s="167"/>
      <c r="Z608" s="167"/>
      <c r="AA608" s="167"/>
      <c r="AB608" s="167"/>
      <c r="AC608" s="167"/>
      <c r="AD608" s="167"/>
      <c r="AE608" s="167"/>
      <c r="AF608" s="167"/>
      <c r="AG608" s="167"/>
      <c r="AH608" s="167"/>
      <c r="AI608" s="167"/>
      <c r="AJ608" s="167"/>
      <c r="AK608" s="167"/>
      <c r="AL608" s="167"/>
      <c r="AM608" s="167"/>
      <c r="AN608" s="167"/>
      <c r="AO608" s="167"/>
      <c r="AP608" s="160"/>
      <c r="AQ608" s="160"/>
      <c r="AR608" s="160"/>
      <c r="AS608" s="160"/>
      <c r="AT608" s="160"/>
    </row>
    <row r="609" spans="23:46" s="99" customFormat="1" x14ac:dyDescent="0.25">
      <c r="W609" s="160"/>
      <c r="X609" s="160"/>
      <c r="Y609" s="167"/>
      <c r="Z609" s="167"/>
      <c r="AA609" s="167"/>
      <c r="AB609" s="167"/>
      <c r="AC609" s="167"/>
      <c r="AD609" s="167"/>
      <c r="AE609" s="167"/>
      <c r="AF609" s="167"/>
      <c r="AG609" s="167"/>
      <c r="AH609" s="167"/>
      <c r="AI609" s="167"/>
      <c r="AJ609" s="167"/>
      <c r="AK609" s="167"/>
      <c r="AL609" s="167"/>
      <c r="AM609" s="167"/>
      <c r="AN609" s="167"/>
      <c r="AO609" s="167"/>
      <c r="AP609" s="160"/>
      <c r="AQ609" s="160"/>
      <c r="AR609" s="160"/>
      <c r="AS609" s="160"/>
      <c r="AT609" s="160"/>
    </row>
    <row r="610" spans="23:46" s="99" customFormat="1" x14ac:dyDescent="0.25">
      <c r="W610" s="160"/>
      <c r="X610" s="160"/>
      <c r="Y610" s="167"/>
      <c r="Z610" s="167"/>
      <c r="AA610" s="167"/>
      <c r="AB610" s="167"/>
      <c r="AC610" s="167"/>
      <c r="AD610" s="167"/>
      <c r="AE610" s="167"/>
      <c r="AF610" s="167"/>
      <c r="AG610" s="167"/>
      <c r="AH610" s="167"/>
      <c r="AI610" s="167"/>
      <c r="AJ610" s="167"/>
      <c r="AK610" s="167"/>
      <c r="AL610" s="167"/>
      <c r="AM610" s="167"/>
      <c r="AN610" s="167"/>
      <c r="AO610" s="167"/>
      <c r="AP610" s="160"/>
      <c r="AQ610" s="160"/>
      <c r="AR610" s="160"/>
      <c r="AS610" s="160"/>
      <c r="AT610" s="160"/>
    </row>
    <row r="611" spans="23:46" s="99" customFormat="1" x14ac:dyDescent="0.25">
      <c r="W611" s="160"/>
      <c r="X611" s="160"/>
      <c r="Y611" s="167"/>
      <c r="Z611" s="167"/>
      <c r="AA611" s="167"/>
      <c r="AB611" s="167"/>
      <c r="AC611" s="167"/>
      <c r="AD611" s="167"/>
      <c r="AE611" s="167"/>
      <c r="AF611" s="167"/>
      <c r="AG611" s="167"/>
      <c r="AH611" s="167"/>
      <c r="AI611" s="167"/>
      <c r="AJ611" s="167"/>
      <c r="AK611" s="167"/>
      <c r="AL611" s="167"/>
      <c r="AM611" s="167"/>
      <c r="AN611" s="167"/>
      <c r="AO611" s="167"/>
      <c r="AP611" s="160"/>
      <c r="AQ611" s="160"/>
      <c r="AR611" s="160"/>
      <c r="AS611" s="160"/>
      <c r="AT611" s="160"/>
    </row>
    <row r="612" spans="23:46" s="99" customFormat="1" x14ac:dyDescent="0.25">
      <c r="W612" s="160"/>
      <c r="X612" s="160"/>
      <c r="Y612" s="167"/>
      <c r="Z612" s="167"/>
      <c r="AA612" s="167"/>
      <c r="AB612" s="167"/>
      <c r="AC612" s="167"/>
      <c r="AD612" s="167"/>
      <c r="AE612" s="167"/>
      <c r="AF612" s="167"/>
      <c r="AG612" s="167"/>
      <c r="AH612" s="167"/>
      <c r="AI612" s="167"/>
      <c r="AJ612" s="167"/>
      <c r="AK612" s="167"/>
      <c r="AL612" s="167"/>
      <c r="AM612" s="167"/>
      <c r="AN612" s="167"/>
      <c r="AO612" s="167"/>
      <c r="AP612" s="160"/>
      <c r="AQ612" s="160"/>
      <c r="AR612" s="160"/>
      <c r="AS612" s="160"/>
      <c r="AT612" s="160"/>
    </row>
    <row r="613" spans="23:46" s="99" customFormat="1" x14ac:dyDescent="0.25">
      <c r="W613" s="160"/>
      <c r="X613" s="160"/>
      <c r="Y613" s="167"/>
      <c r="Z613" s="167"/>
      <c r="AA613" s="167"/>
      <c r="AB613" s="167"/>
      <c r="AC613" s="167"/>
      <c r="AD613" s="167"/>
      <c r="AE613" s="167"/>
      <c r="AF613" s="167"/>
      <c r="AG613" s="167"/>
      <c r="AH613" s="167"/>
      <c r="AI613" s="167"/>
      <c r="AJ613" s="167"/>
      <c r="AK613" s="167"/>
      <c r="AL613" s="167"/>
      <c r="AM613" s="167"/>
      <c r="AN613" s="167"/>
      <c r="AO613" s="167"/>
      <c r="AP613" s="160"/>
      <c r="AQ613" s="160"/>
      <c r="AR613" s="160"/>
      <c r="AS613" s="160"/>
      <c r="AT613" s="160"/>
    </row>
    <row r="614" spans="23:46" s="99" customFormat="1" x14ac:dyDescent="0.25">
      <c r="W614" s="160"/>
      <c r="X614" s="160"/>
      <c r="Y614" s="167"/>
      <c r="Z614" s="167"/>
      <c r="AA614" s="167"/>
      <c r="AB614" s="167"/>
      <c r="AC614" s="167"/>
      <c r="AD614" s="167"/>
      <c r="AE614" s="167"/>
      <c r="AF614" s="167"/>
      <c r="AG614" s="167"/>
      <c r="AH614" s="167"/>
      <c r="AI614" s="167"/>
      <c r="AJ614" s="167"/>
      <c r="AK614" s="167"/>
      <c r="AL614" s="167"/>
      <c r="AM614" s="167"/>
      <c r="AN614" s="167"/>
      <c r="AO614" s="167"/>
      <c r="AP614" s="160"/>
      <c r="AQ614" s="160"/>
      <c r="AR614" s="160"/>
      <c r="AS614" s="160"/>
      <c r="AT614" s="160"/>
    </row>
    <row r="615" spans="23:46" s="99" customFormat="1" x14ac:dyDescent="0.25">
      <c r="W615" s="160"/>
      <c r="X615" s="160"/>
      <c r="Y615" s="167"/>
      <c r="Z615" s="167"/>
      <c r="AA615" s="167"/>
      <c r="AB615" s="167"/>
      <c r="AC615" s="167"/>
      <c r="AD615" s="167"/>
      <c r="AE615" s="167"/>
      <c r="AF615" s="167"/>
      <c r="AG615" s="167"/>
      <c r="AH615" s="167"/>
      <c r="AI615" s="167"/>
      <c r="AJ615" s="167"/>
      <c r="AK615" s="167"/>
      <c r="AL615" s="167"/>
      <c r="AM615" s="167"/>
      <c r="AN615" s="167"/>
      <c r="AO615" s="167"/>
      <c r="AP615" s="160"/>
      <c r="AQ615" s="160"/>
      <c r="AR615" s="160"/>
      <c r="AS615" s="160"/>
      <c r="AT615" s="160"/>
    </row>
    <row r="616" spans="23:46" s="99" customFormat="1" x14ac:dyDescent="0.25">
      <c r="W616" s="160"/>
      <c r="X616" s="160"/>
      <c r="Y616" s="167"/>
      <c r="Z616" s="167"/>
      <c r="AA616" s="167"/>
      <c r="AB616" s="167"/>
      <c r="AC616" s="167"/>
      <c r="AD616" s="167"/>
      <c r="AE616" s="167"/>
      <c r="AF616" s="167"/>
      <c r="AG616" s="167"/>
      <c r="AH616" s="167"/>
      <c r="AI616" s="167"/>
      <c r="AJ616" s="167"/>
      <c r="AK616" s="167"/>
      <c r="AL616" s="167"/>
      <c r="AM616" s="167"/>
      <c r="AN616" s="167"/>
      <c r="AO616" s="167"/>
      <c r="AP616" s="160"/>
      <c r="AQ616" s="160"/>
      <c r="AR616" s="160"/>
      <c r="AS616" s="160"/>
      <c r="AT616" s="160"/>
    </row>
    <row r="617" spans="23:46" s="99" customFormat="1" x14ac:dyDescent="0.25">
      <c r="W617" s="160"/>
      <c r="X617" s="160"/>
      <c r="Y617" s="167"/>
      <c r="Z617" s="167"/>
      <c r="AA617" s="167"/>
      <c r="AB617" s="167"/>
      <c r="AC617" s="167"/>
      <c r="AD617" s="167"/>
      <c r="AE617" s="167"/>
      <c r="AF617" s="167"/>
      <c r="AG617" s="167"/>
      <c r="AH617" s="167"/>
      <c r="AI617" s="167"/>
      <c r="AJ617" s="167"/>
      <c r="AK617" s="167"/>
      <c r="AL617" s="167"/>
      <c r="AM617" s="167"/>
      <c r="AN617" s="167"/>
      <c r="AO617" s="167"/>
      <c r="AP617" s="160"/>
      <c r="AQ617" s="160"/>
      <c r="AR617" s="160"/>
      <c r="AS617" s="160"/>
      <c r="AT617" s="160"/>
    </row>
    <row r="618" spans="23:46" s="99" customFormat="1" x14ac:dyDescent="0.25">
      <c r="W618" s="160"/>
      <c r="X618" s="160"/>
      <c r="Y618" s="167"/>
      <c r="Z618" s="167"/>
      <c r="AA618" s="167"/>
      <c r="AB618" s="167"/>
      <c r="AC618" s="167"/>
      <c r="AD618" s="167"/>
      <c r="AE618" s="167"/>
      <c r="AF618" s="167"/>
      <c r="AG618" s="167"/>
      <c r="AH618" s="167"/>
      <c r="AI618" s="167"/>
      <c r="AJ618" s="167"/>
      <c r="AK618" s="167"/>
      <c r="AL618" s="167"/>
      <c r="AM618" s="167"/>
      <c r="AN618" s="167"/>
      <c r="AO618" s="167"/>
      <c r="AP618" s="160"/>
      <c r="AQ618" s="160"/>
      <c r="AR618" s="160"/>
      <c r="AS618" s="160"/>
      <c r="AT618" s="160"/>
    </row>
    <row r="619" spans="23:46" s="99" customFormat="1" x14ac:dyDescent="0.25">
      <c r="W619" s="160"/>
      <c r="X619" s="160"/>
      <c r="Y619" s="167"/>
      <c r="Z619" s="167"/>
      <c r="AA619" s="167"/>
      <c r="AB619" s="167"/>
      <c r="AC619" s="167"/>
      <c r="AD619" s="167"/>
      <c r="AE619" s="167"/>
      <c r="AF619" s="167"/>
      <c r="AG619" s="167"/>
      <c r="AH619" s="167"/>
      <c r="AI619" s="167"/>
      <c r="AJ619" s="167"/>
      <c r="AK619" s="167"/>
      <c r="AL619" s="167"/>
      <c r="AM619" s="167"/>
      <c r="AN619" s="167"/>
      <c r="AO619" s="167"/>
      <c r="AP619" s="160"/>
      <c r="AQ619" s="160"/>
      <c r="AR619" s="160"/>
      <c r="AS619" s="160"/>
      <c r="AT619" s="160"/>
    </row>
    <row r="620" spans="23:46" s="99" customFormat="1" x14ac:dyDescent="0.25">
      <c r="W620" s="160"/>
      <c r="X620" s="160"/>
      <c r="Y620" s="167"/>
      <c r="Z620" s="167"/>
      <c r="AA620" s="167"/>
      <c r="AB620" s="167"/>
      <c r="AC620" s="167"/>
      <c r="AD620" s="167"/>
      <c r="AE620" s="167"/>
      <c r="AF620" s="167"/>
      <c r="AG620" s="167"/>
      <c r="AH620" s="167"/>
      <c r="AI620" s="167"/>
      <c r="AJ620" s="167"/>
      <c r="AK620" s="167"/>
      <c r="AL620" s="167"/>
      <c r="AM620" s="167"/>
      <c r="AN620" s="167"/>
      <c r="AO620" s="167"/>
      <c r="AP620" s="160"/>
      <c r="AQ620" s="160"/>
      <c r="AR620" s="160"/>
      <c r="AS620" s="160"/>
      <c r="AT620" s="160"/>
    </row>
    <row r="621" spans="23:46" s="99" customFormat="1" x14ac:dyDescent="0.25">
      <c r="W621" s="160"/>
      <c r="X621" s="160"/>
      <c r="Y621" s="167"/>
      <c r="Z621" s="167"/>
      <c r="AA621" s="167"/>
      <c r="AB621" s="167"/>
      <c r="AC621" s="167"/>
      <c r="AD621" s="167"/>
      <c r="AE621" s="167"/>
      <c r="AF621" s="167"/>
      <c r="AG621" s="167"/>
      <c r="AH621" s="167"/>
      <c r="AI621" s="167"/>
      <c r="AJ621" s="167"/>
      <c r="AK621" s="167"/>
      <c r="AL621" s="167"/>
      <c r="AM621" s="167"/>
      <c r="AN621" s="167"/>
      <c r="AO621" s="167"/>
      <c r="AP621" s="160"/>
      <c r="AQ621" s="160"/>
      <c r="AR621" s="160"/>
      <c r="AS621" s="160"/>
      <c r="AT621" s="160"/>
    </row>
    <row r="622" spans="23:46" s="99" customFormat="1" x14ac:dyDescent="0.25">
      <c r="W622" s="160"/>
      <c r="X622" s="160"/>
      <c r="Y622" s="167"/>
      <c r="Z622" s="167"/>
      <c r="AA622" s="167"/>
      <c r="AB622" s="167"/>
      <c r="AC622" s="167"/>
      <c r="AD622" s="167"/>
      <c r="AE622" s="167"/>
      <c r="AF622" s="167"/>
      <c r="AG622" s="167"/>
      <c r="AH622" s="167"/>
      <c r="AI622" s="167"/>
      <c r="AJ622" s="167"/>
      <c r="AK622" s="167"/>
      <c r="AL622" s="167"/>
      <c r="AM622" s="167"/>
      <c r="AN622" s="167"/>
      <c r="AO622" s="167"/>
      <c r="AP622" s="160"/>
      <c r="AQ622" s="160"/>
      <c r="AR622" s="160"/>
      <c r="AS622" s="160"/>
      <c r="AT622" s="160"/>
    </row>
    <row r="623" spans="23:46" s="99" customFormat="1" x14ac:dyDescent="0.25">
      <c r="W623" s="160"/>
      <c r="X623" s="160"/>
      <c r="Y623" s="167"/>
      <c r="Z623" s="167"/>
      <c r="AA623" s="167"/>
      <c r="AB623" s="167"/>
      <c r="AC623" s="167"/>
      <c r="AD623" s="167"/>
      <c r="AE623" s="167"/>
      <c r="AF623" s="167"/>
      <c r="AG623" s="167"/>
      <c r="AH623" s="167"/>
      <c r="AI623" s="167"/>
      <c r="AJ623" s="167"/>
      <c r="AK623" s="167"/>
      <c r="AL623" s="167"/>
      <c r="AM623" s="167"/>
      <c r="AN623" s="167"/>
      <c r="AO623" s="167"/>
      <c r="AP623" s="160"/>
      <c r="AQ623" s="160"/>
      <c r="AR623" s="160"/>
      <c r="AS623" s="160"/>
      <c r="AT623" s="160"/>
    </row>
    <row r="624" spans="23:46" s="99" customFormat="1" x14ac:dyDescent="0.25">
      <c r="W624" s="160"/>
      <c r="X624" s="160"/>
      <c r="Y624" s="167"/>
      <c r="Z624" s="167"/>
      <c r="AA624" s="167"/>
      <c r="AB624" s="167"/>
      <c r="AC624" s="167"/>
      <c r="AD624" s="167"/>
      <c r="AE624" s="167"/>
      <c r="AF624" s="167"/>
      <c r="AG624" s="167"/>
      <c r="AH624" s="167"/>
      <c r="AI624" s="167"/>
      <c r="AJ624" s="167"/>
      <c r="AK624" s="167"/>
      <c r="AL624" s="167"/>
      <c r="AM624" s="167"/>
      <c r="AN624" s="167"/>
      <c r="AO624" s="167"/>
      <c r="AP624" s="160"/>
      <c r="AQ624" s="160"/>
      <c r="AR624" s="160"/>
      <c r="AS624" s="160"/>
      <c r="AT624" s="160"/>
    </row>
    <row r="625" spans="23:46" s="99" customFormat="1" x14ac:dyDescent="0.25">
      <c r="W625" s="160"/>
      <c r="X625" s="160"/>
      <c r="Y625" s="167"/>
      <c r="Z625" s="167"/>
      <c r="AA625" s="167"/>
      <c r="AB625" s="167"/>
      <c r="AC625" s="167"/>
      <c r="AD625" s="167"/>
      <c r="AE625" s="167"/>
      <c r="AF625" s="167"/>
      <c r="AG625" s="167"/>
      <c r="AH625" s="167"/>
      <c r="AI625" s="167"/>
      <c r="AJ625" s="167"/>
      <c r="AK625" s="167"/>
      <c r="AL625" s="167"/>
      <c r="AM625" s="167"/>
      <c r="AN625" s="167"/>
      <c r="AO625" s="167"/>
      <c r="AP625" s="160"/>
      <c r="AQ625" s="160"/>
      <c r="AR625" s="160"/>
      <c r="AS625" s="160"/>
      <c r="AT625" s="160"/>
    </row>
    <row r="626" spans="23:46" s="99" customFormat="1" x14ac:dyDescent="0.25">
      <c r="W626" s="160"/>
      <c r="X626" s="160"/>
      <c r="Y626" s="167"/>
      <c r="Z626" s="167"/>
      <c r="AA626" s="167"/>
      <c r="AB626" s="167"/>
      <c r="AC626" s="167"/>
      <c r="AD626" s="167"/>
      <c r="AE626" s="167"/>
      <c r="AF626" s="167"/>
      <c r="AG626" s="167"/>
      <c r="AH626" s="167"/>
      <c r="AI626" s="167"/>
      <c r="AJ626" s="167"/>
      <c r="AK626" s="167"/>
      <c r="AL626" s="167"/>
      <c r="AM626" s="167"/>
      <c r="AN626" s="167"/>
      <c r="AO626" s="167"/>
      <c r="AP626" s="160"/>
      <c r="AQ626" s="160"/>
      <c r="AR626" s="160"/>
      <c r="AS626" s="160"/>
      <c r="AT626" s="160"/>
    </row>
    <row r="627" spans="23:46" s="99" customFormat="1" x14ac:dyDescent="0.25">
      <c r="W627" s="160"/>
      <c r="X627" s="160"/>
      <c r="Y627" s="167"/>
      <c r="Z627" s="167"/>
      <c r="AA627" s="167"/>
      <c r="AB627" s="167"/>
      <c r="AC627" s="167"/>
      <c r="AD627" s="167"/>
      <c r="AE627" s="167"/>
      <c r="AF627" s="167"/>
      <c r="AG627" s="167"/>
      <c r="AH627" s="167"/>
      <c r="AI627" s="167"/>
      <c r="AJ627" s="167"/>
      <c r="AK627" s="167"/>
      <c r="AL627" s="167"/>
      <c r="AM627" s="167"/>
      <c r="AN627" s="167"/>
      <c r="AO627" s="167"/>
      <c r="AP627" s="160"/>
      <c r="AQ627" s="160"/>
      <c r="AR627" s="160"/>
      <c r="AS627" s="160"/>
      <c r="AT627" s="160"/>
    </row>
    <row r="628" spans="23:46" s="99" customFormat="1" x14ac:dyDescent="0.25">
      <c r="W628" s="160"/>
      <c r="X628" s="160"/>
      <c r="Y628" s="167"/>
      <c r="Z628" s="167"/>
      <c r="AA628" s="167"/>
      <c r="AB628" s="167"/>
      <c r="AC628" s="167"/>
      <c r="AD628" s="167"/>
      <c r="AE628" s="167"/>
      <c r="AF628" s="167"/>
      <c r="AG628" s="167"/>
      <c r="AH628" s="167"/>
      <c r="AI628" s="167"/>
      <c r="AJ628" s="167"/>
      <c r="AK628" s="167"/>
      <c r="AL628" s="167"/>
      <c r="AM628" s="167"/>
      <c r="AN628" s="167"/>
      <c r="AO628" s="167"/>
      <c r="AP628" s="160"/>
      <c r="AQ628" s="160"/>
      <c r="AR628" s="160"/>
      <c r="AS628" s="160"/>
      <c r="AT628" s="160"/>
    </row>
    <row r="629" spans="23:46" s="99" customFormat="1" x14ac:dyDescent="0.25">
      <c r="W629" s="160"/>
      <c r="X629" s="160"/>
      <c r="Y629" s="167"/>
      <c r="Z629" s="167"/>
      <c r="AA629" s="167"/>
      <c r="AB629" s="167"/>
      <c r="AC629" s="167"/>
      <c r="AD629" s="167"/>
      <c r="AE629" s="167"/>
      <c r="AF629" s="167"/>
      <c r="AG629" s="167"/>
      <c r="AH629" s="167"/>
      <c r="AI629" s="167"/>
      <c r="AJ629" s="167"/>
      <c r="AK629" s="167"/>
      <c r="AL629" s="167"/>
      <c r="AM629" s="167"/>
      <c r="AN629" s="167"/>
      <c r="AO629" s="167"/>
      <c r="AP629" s="160"/>
      <c r="AQ629" s="160"/>
      <c r="AR629" s="160"/>
      <c r="AS629" s="160"/>
      <c r="AT629" s="160"/>
    </row>
    <row r="630" spans="23:46" s="99" customFormat="1" x14ac:dyDescent="0.25">
      <c r="W630" s="160"/>
      <c r="X630" s="160"/>
      <c r="Y630" s="167"/>
      <c r="Z630" s="167"/>
      <c r="AA630" s="167"/>
      <c r="AB630" s="167"/>
      <c r="AC630" s="167"/>
      <c r="AD630" s="167"/>
      <c r="AE630" s="167"/>
      <c r="AF630" s="167"/>
      <c r="AG630" s="167"/>
      <c r="AH630" s="167"/>
      <c r="AI630" s="167"/>
      <c r="AJ630" s="167"/>
      <c r="AK630" s="167"/>
      <c r="AL630" s="167"/>
      <c r="AM630" s="167"/>
      <c r="AN630" s="167"/>
      <c r="AO630" s="167"/>
      <c r="AP630" s="160"/>
      <c r="AQ630" s="160"/>
      <c r="AR630" s="160"/>
      <c r="AS630" s="160"/>
      <c r="AT630" s="160"/>
    </row>
    <row r="631" spans="23:46" s="99" customFormat="1" x14ac:dyDescent="0.25">
      <c r="W631" s="160"/>
      <c r="X631" s="160"/>
      <c r="Y631" s="167"/>
      <c r="Z631" s="167"/>
      <c r="AA631" s="167"/>
      <c r="AB631" s="167"/>
      <c r="AC631" s="167"/>
      <c r="AD631" s="167"/>
      <c r="AE631" s="167"/>
      <c r="AF631" s="167"/>
      <c r="AG631" s="167"/>
      <c r="AH631" s="167"/>
      <c r="AI631" s="167"/>
      <c r="AJ631" s="167"/>
      <c r="AK631" s="167"/>
      <c r="AL631" s="167"/>
      <c r="AM631" s="167"/>
      <c r="AN631" s="167"/>
      <c r="AO631" s="167"/>
      <c r="AP631" s="160"/>
      <c r="AQ631" s="160"/>
      <c r="AR631" s="160"/>
      <c r="AS631" s="160"/>
      <c r="AT631" s="160"/>
    </row>
    <row r="632" spans="23:46" s="99" customFormat="1" x14ac:dyDescent="0.25">
      <c r="W632" s="160"/>
      <c r="X632" s="160"/>
      <c r="Y632" s="167"/>
      <c r="Z632" s="167"/>
      <c r="AA632" s="167"/>
      <c r="AB632" s="167"/>
      <c r="AC632" s="167"/>
      <c r="AD632" s="167"/>
      <c r="AE632" s="167"/>
      <c r="AF632" s="167"/>
      <c r="AG632" s="167"/>
      <c r="AH632" s="167"/>
      <c r="AI632" s="167"/>
      <c r="AJ632" s="167"/>
      <c r="AK632" s="167"/>
      <c r="AL632" s="167"/>
      <c r="AM632" s="167"/>
      <c r="AN632" s="167"/>
      <c r="AO632" s="167"/>
      <c r="AP632" s="160"/>
      <c r="AQ632" s="160"/>
      <c r="AR632" s="160"/>
      <c r="AS632" s="160"/>
      <c r="AT632" s="160"/>
    </row>
    <row r="633" spans="23:46" s="99" customFormat="1" x14ac:dyDescent="0.25">
      <c r="W633" s="160"/>
      <c r="X633" s="160"/>
      <c r="Y633" s="167"/>
      <c r="Z633" s="167"/>
      <c r="AA633" s="167"/>
      <c r="AB633" s="167"/>
      <c r="AC633" s="167"/>
      <c r="AD633" s="167"/>
      <c r="AE633" s="167"/>
      <c r="AF633" s="167"/>
      <c r="AG633" s="167"/>
      <c r="AH633" s="167"/>
      <c r="AI633" s="167"/>
      <c r="AJ633" s="167"/>
      <c r="AK633" s="167"/>
      <c r="AL633" s="167"/>
      <c r="AM633" s="167"/>
      <c r="AN633" s="167"/>
      <c r="AO633" s="167"/>
      <c r="AP633" s="160"/>
      <c r="AQ633" s="160"/>
      <c r="AR633" s="160"/>
      <c r="AS633" s="160"/>
      <c r="AT633" s="160"/>
    </row>
    <row r="634" spans="23:46" s="99" customFormat="1" x14ac:dyDescent="0.25">
      <c r="W634" s="160"/>
      <c r="X634" s="160"/>
      <c r="Y634" s="167"/>
      <c r="Z634" s="167"/>
      <c r="AA634" s="167"/>
      <c r="AB634" s="167"/>
      <c r="AC634" s="167"/>
      <c r="AD634" s="167"/>
      <c r="AE634" s="167"/>
      <c r="AF634" s="167"/>
      <c r="AG634" s="167"/>
      <c r="AH634" s="167"/>
      <c r="AI634" s="167"/>
      <c r="AJ634" s="167"/>
      <c r="AK634" s="167"/>
      <c r="AL634" s="167"/>
      <c r="AM634" s="167"/>
      <c r="AN634" s="167"/>
      <c r="AO634" s="167"/>
      <c r="AP634" s="160"/>
      <c r="AQ634" s="160"/>
      <c r="AR634" s="160"/>
      <c r="AS634" s="160"/>
      <c r="AT634" s="160"/>
    </row>
    <row r="635" spans="23:46" s="99" customFormat="1" x14ac:dyDescent="0.25">
      <c r="W635" s="160"/>
      <c r="X635" s="160"/>
      <c r="Y635" s="167"/>
      <c r="Z635" s="167"/>
      <c r="AA635" s="167"/>
      <c r="AB635" s="167"/>
      <c r="AC635" s="167"/>
      <c r="AD635" s="167"/>
      <c r="AE635" s="167"/>
      <c r="AF635" s="167"/>
      <c r="AG635" s="167"/>
      <c r="AH635" s="167"/>
      <c r="AI635" s="167"/>
      <c r="AJ635" s="167"/>
      <c r="AK635" s="167"/>
      <c r="AL635" s="167"/>
      <c r="AM635" s="167"/>
      <c r="AN635" s="167"/>
      <c r="AO635" s="167"/>
      <c r="AP635" s="160"/>
      <c r="AQ635" s="160"/>
      <c r="AR635" s="160"/>
      <c r="AS635" s="160"/>
      <c r="AT635" s="160"/>
    </row>
    <row r="636" spans="23:46" s="99" customFormat="1" x14ac:dyDescent="0.25">
      <c r="W636" s="160"/>
      <c r="X636" s="160"/>
      <c r="Y636" s="167"/>
      <c r="Z636" s="167"/>
      <c r="AA636" s="167"/>
      <c r="AB636" s="167"/>
      <c r="AC636" s="167"/>
      <c r="AD636" s="167"/>
      <c r="AE636" s="167"/>
      <c r="AF636" s="167"/>
      <c r="AG636" s="167"/>
      <c r="AH636" s="167"/>
      <c r="AI636" s="167"/>
      <c r="AJ636" s="167"/>
      <c r="AK636" s="167"/>
      <c r="AL636" s="167"/>
      <c r="AM636" s="167"/>
      <c r="AN636" s="167"/>
      <c r="AO636" s="167"/>
      <c r="AP636" s="160"/>
      <c r="AQ636" s="160"/>
      <c r="AR636" s="160"/>
      <c r="AS636" s="160"/>
      <c r="AT636" s="160"/>
    </row>
    <row r="637" spans="23:46" s="99" customFormat="1" x14ac:dyDescent="0.25">
      <c r="W637" s="160"/>
      <c r="X637" s="160"/>
      <c r="Y637" s="167"/>
      <c r="Z637" s="167"/>
      <c r="AA637" s="167"/>
      <c r="AB637" s="167"/>
      <c r="AC637" s="167"/>
      <c r="AD637" s="167"/>
      <c r="AE637" s="167"/>
      <c r="AF637" s="167"/>
      <c r="AG637" s="167"/>
      <c r="AH637" s="167"/>
      <c r="AI637" s="167"/>
      <c r="AJ637" s="167"/>
      <c r="AK637" s="167"/>
      <c r="AL637" s="167"/>
      <c r="AM637" s="167"/>
      <c r="AN637" s="167"/>
      <c r="AO637" s="167"/>
      <c r="AP637" s="160"/>
      <c r="AQ637" s="160"/>
      <c r="AR637" s="160"/>
      <c r="AS637" s="160"/>
      <c r="AT637" s="160"/>
    </row>
    <row r="638" spans="23:46" s="99" customFormat="1" x14ac:dyDescent="0.25">
      <c r="W638" s="160"/>
      <c r="X638" s="160"/>
      <c r="Y638" s="167"/>
      <c r="Z638" s="167"/>
      <c r="AA638" s="167"/>
      <c r="AB638" s="167"/>
      <c r="AC638" s="167"/>
      <c r="AD638" s="167"/>
      <c r="AE638" s="167"/>
      <c r="AF638" s="167"/>
      <c r="AG638" s="167"/>
      <c r="AH638" s="167"/>
      <c r="AI638" s="167"/>
      <c r="AJ638" s="167"/>
      <c r="AK638" s="167"/>
      <c r="AL638" s="167"/>
      <c r="AM638" s="167"/>
      <c r="AN638" s="167"/>
      <c r="AO638" s="167"/>
      <c r="AP638" s="160"/>
      <c r="AQ638" s="160"/>
      <c r="AR638" s="160"/>
      <c r="AS638" s="160"/>
      <c r="AT638" s="160"/>
    </row>
    <row r="639" spans="23:46" s="99" customFormat="1" x14ac:dyDescent="0.25">
      <c r="W639" s="160"/>
      <c r="X639" s="160"/>
      <c r="Y639" s="167"/>
      <c r="Z639" s="167"/>
      <c r="AA639" s="167"/>
      <c r="AB639" s="167"/>
      <c r="AC639" s="167"/>
      <c r="AD639" s="167"/>
      <c r="AE639" s="167"/>
      <c r="AF639" s="167"/>
      <c r="AG639" s="167"/>
      <c r="AH639" s="167"/>
      <c r="AI639" s="167"/>
      <c r="AJ639" s="167"/>
      <c r="AK639" s="167"/>
      <c r="AL639" s="167"/>
      <c r="AM639" s="167"/>
      <c r="AN639" s="167"/>
      <c r="AO639" s="167"/>
      <c r="AP639" s="160"/>
      <c r="AQ639" s="160"/>
      <c r="AR639" s="160"/>
      <c r="AS639" s="160"/>
      <c r="AT639" s="160"/>
    </row>
    <row r="640" spans="23:46" s="99" customFormat="1" x14ac:dyDescent="0.25">
      <c r="W640" s="160"/>
      <c r="X640" s="160"/>
      <c r="Y640" s="167"/>
      <c r="Z640" s="167"/>
      <c r="AA640" s="167"/>
      <c r="AB640" s="167"/>
      <c r="AC640" s="167"/>
      <c r="AD640" s="167"/>
      <c r="AE640" s="167"/>
      <c r="AF640" s="167"/>
      <c r="AG640" s="167"/>
      <c r="AH640" s="167"/>
      <c r="AI640" s="167"/>
      <c r="AJ640" s="167"/>
      <c r="AK640" s="167"/>
      <c r="AL640" s="167"/>
      <c r="AM640" s="167"/>
      <c r="AN640" s="167"/>
      <c r="AO640" s="167"/>
      <c r="AP640" s="160"/>
      <c r="AQ640" s="160"/>
      <c r="AR640" s="160"/>
      <c r="AS640" s="160"/>
      <c r="AT640" s="160"/>
    </row>
    <row r="641" spans="23:46" s="99" customFormat="1" x14ac:dyDescent="0.25">
      <c r="W641" s="160"/>
      <c r="X641" s="160"/>
      <c r="Y641" s="167"/>
      <c r="Z641" s="167"/>
      <c r="AA641" s="167"/>
      <c r="AB641" s="167"/>
      <c r="AC641" s="167"/>
      <c r="AD641" s="167"/>
      <c r="AE641" s="167"/>
      <c r="AF641" s="167"/>
      <c r="AG641" s="167"/>
      <c r="AH641" s="167"/>
      <c r="AI641" s="167"/>
      <c r="AJ641" s="167"/>
      <c r="AK641" s="167"/>
      <c r="AL641" s="167"/>
      <c r="AM641" s="167"/>
      <c r="AN641" s="167"/>
      <c r="AO641" s="167"/>
      <c r="AP641" s="160"/>
      <c r="AQ641" s="160"/>
      <c r="AR641" s="160"/>
      <c r="AS641" s="160"/>
      <c r="AT641" s="160"/>
    </row>
    <row r="642" spans="23:46" s="99" customFormat="1" x14ac:dyDescent="0.25">
      <c r="W642" s="160"/>
      <c r="X642" s="160"/>
      <c r="Y642" s="167"/>
      <c r="Z642" s="167"/>
      <c r="AA642" s="167"/>
      <c r="AB642" s="167"/>
      <c r="AC642" s="167"/>
      <c r="AD642" s="167"/>
      <c r="AE642" s="167"/>
      <c r="AF642" s="167"/>
      <c r="AG642" s="167"/>
      <c r="AH642" s="167"/>
      <c r="AI642" s="167"/>
      <c r="AJ642" s="167"/>
      <c r="AK642" s="167"/>
      <c r="AL642" s="167"/>
      <c r="AM642" s="167"/>
      <c r="AN642" s="167"/>
      <c r="AO642" s="167"/>
      <c r="AP642" s="160"/>
      <c r="AQ642" s="160"/>
      <c r="AR642" s="160"/>
      <c r="AS642" s="160"/>
      <c r="AT642" s="160"/>
    </row>
  </sheetData>
  <sheetProtection algorithmName="SHA-512" hashValue="spTjt9edt1bxZ+THaY2nup8DgFxhffdhX9Vrxqv5satn9bKfYGjSpW0lAM4j0c4DGnRr9VZnZRg/XOW11+FStQ==" saltValue="A6FwS/wUNokfealuwjR7hQ==" spinCount="100000" sheet="1" objects="1" scenarios="1" selectLockedCells="1"/>
  <mergeCells count="135">
    <mergeCell ref="B1:U1"/>
    <mergeCell ref="I9:J9"/>
    <mergeCell ref="L7:N7"/>
    <mergeCell ref="L11:M11"/>
    <mergeCell ref="L9:M9"/>
    <mergeCell ref="B15:C15"/>
    <mergeCell ref="D15:F15"/>
    <mergeCell ref="B13:C13"/>
    <mergeCell ref="D13:F13"/>
    <mergeCell ref="B3:C3"/>
    <mergeCell ref="B5:C5"/>
    <mergeCell ref="D5:F5"/>
    <mergeCell ref="B7:C7"/>
    <mergeCell ref="D7:F7"/>
    <mergeCell ref="B9:C9"/>
    <mergeCell ref="D9:F9"/>
    <mergeCell ref="B11:C11"/>
    <mergeCell ref="L3:N3"/>
    <mergeCell ref="L5:N5"/>
    <mergeCell ref="R5:S5"/>
    <mergeCell ref="T5:U5"/>
    <mergeCell ref="R3:U3"/>
    <mergeCell ref="R9:S9"/>
    <mergeCell ref="D6:F6"/>
    <mergeCell ref="B39:F39"/>
    <mergeCell ref="I39:M39"/>
    <mergeCell ref="P39:T39"/>
    <mergeCell ref="B60:F60"/>
    <mergeCell ref="I60:M60"/>
    <mergeCell ref="P60:T60"/>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71:F71"/>
    <mergeCell ref="I71:M71"/>
    <mergeCell ref="P71:T71"/>
    <mergeCell ref="B66:F66"/>
    <mergeCell ref="I66:M66"/>
    <mergeCell ref="P66:T66"/>
    <mergeCell ref="B68:F68"/>
    <mergeCell ref="I68:M68"/>
    <mergeCell ref="P68:T68"/>
    <mergeCell ref="B69:F69"/>
    <mergeCell ref="I69:M69"/>
    <mergeCell ref="P69:T69"/>
    <mergeCell ref="Q62:U62"/>
    <mergeCell ref="B54:F54"/>
    <mergeCell ref="I54:M54"/>
    <mergeCell ref="P54:T54"/>
    <mergeCell ref="B56:B57"/>
    <mergeCell ref="C56:G56"/>
    <mergeCell ref="I56:I57"/>
    <mergeCell ref="J56:N56"/>
    <mergeCell ref="P56:P57"/>
    <mergeCell ref="Q56:U56"/>
    <mergeCell ref="B62:B63"/>
    <mergeCell ref="C62:G62"/>
    <mergeCell ref="I62:I63"/>
    <mergeCell ref="J62:N62"/>
    <mergeCell ref="P62:P63"/>
    <mergeCell ref="B37:F37"/>
    <mergeCell ref="I37:M37"/>
    <mergeCell ref="P37:T37"/>
    <mergeCell ref="P25:T25"/>
    <mergeCell ref="Q33:U33"/>
    <mergeCell ref="I33:I34"/>
    <mergeCell ref="B33:B34"/>
    <mergeCell ref="C33:G33"/>
    <mergeCell ref="J33:N33"/>
    <mergeCell ref="P33:P34"/>
    <mergeCell ref="B31:F31"/>
    <mergeCell ref="I31:M31"/>
    <mergeCell ref="P31:T31"/>
    <mergeCell ref="Q27:U27"/>
    <mergeCell ref="B27:B28"/>
    <mergeCell ref="C27:G27"/>
    <mergeCell ref="I25:M25"/>
    <mergeCell ref="J27:N27"/>
    <mergeCell ref="P27:P28"/>
    <mergeCell ref="I27:I28"/>
    <mergeCell ref="B25:F25"/>
    <mergeCell ref="P3:Q3"/>
    <mergeCell ref="P5:Q5"/>
    <mergeCell ref="P9:Q9"/>
    <mergeCell ref="I21:I22"/>
    <mergeCell ref="I3:J3"/>
    <mergeCell ref="I5:J5"/>
    <mergeCell ref="L13:M13"/>
    <mergeCell ref="S15:T15"/>
    <mergeCell ref="D3:F3"/>
    <mergeCell ref="D11:F11"/>
    <mergeCell ref="P6:Q8"/>
    <mergeCell ref="S13:T13"/>
    <mergeCell ref="T9:U9"/>
    <mergeCell ref="R11:S11"/>
    <mergeCell ref="T11:U11"/>
    <mergeCell ref="R7:S7"/>
    <mergeCell ref="T7:U7"/>
    <mergeCell ref="D4:F4"/>
    <mergeCell ref="D14:F14"/>
    <mergeCell ref="L4:N4"/>
    <mergeCell ref="L6:N6"/>
    <mergeCell ref="L8:N8"/>
    <mergeCell ref="L10:N10"/>
    <mergeCell ref="L12:N12"/>
    <mergeCell ref="B19:U19"/>
    <mergeCell ref="B21:B22"/>
    <mergeCell ref="C21:G21"/>
    <mergeCell ref="J21:N21"/>
    <mergeCell ref="P21:P22"/>
    <mergeCell ref="Q21:U21"/>
    <mergeCell ref="R4:U4"/>
    <mergeCell ref="R12:U12"/>
    <mergeCell ref="T6:U6"/>
    <mergeCell ref="R6:S6"/>
    <mergeCell ref="R8:S8"/>
    <mergeCell ref="T8:U8"/>
    <mergeCell ref="R10:S10"/>
    <mergeCell ref="T10:U10"/>
    <mergeCell ref="D8:F8"/>
    <mergeCell ref="D10:F10"/>
    <mergeCell ref="D12:F12"/>
  </mergeCells>
  <dataValidations count="3">
    <dataValidation type="decimal" operator="greaterThan" allowBlank="1" showInputMessage="1" showErrorMessage="1" sqref="I5:J5" xr:uid="{D49ADDAA-6A5F-4CAB-B500-7C117C0E7A0E}">
      <formula1>0</formula1>
    </dataValidation>
    <dataValidation operator="greaterThan" allowBlank="1" showInputMessage="1" showErrorMessage="1" sqref="L5:N5" xr:uid="{6F67063B-9CBA-4869-9E96-E7FFC72EB200}"/>
    <dataValidation type="decimal" allowBlank="1" showInputMessage="1" showErrorMessage="1" sqref="N11" xr:uid="{909738B7-57B4-49F9-8838-04C7076647A4}">
      <formula1>10</formula1>
      <formula2>40</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Button 7">
              <controlPr defaultSize="0" print="0" autoFill="0" autoPict="0" macro="[0]!Insertar">
                <anchor moveWithCells="1" sizeWithCells="1">
                  <from>
                    <xdr:col>8</xdr:col>
                    <xdr:colOff>38100</xdr:colOff>
                    <xdr:row>9</xdr:row>
                    <xdr:rowOff>161925</xdr:rowOff>
                  </from>
                  <to>
                    <xdr:col>9</xdr:col>
                    <xdr:colOff>876300</xdr:colOff>
                    <xdr:row>10</xdr:row>
                    <xdr:rowOff>180975</xdr:rowOff>
                  </to>
                </anchor>
              </controlPr>
            </control>
          </mc:Choice>
        </mc:AlternateContent>
        <mc:AlternateContent xmlns:mc="http://schemas.openxmlformats.org/markup-compatibility/2006">
          <mc:Choice Requires="x14">
            <control shapeId="4104" r:id="rId5" name="Button 8">
              <controlPr defaultSize="0" print="0" autoFill="0" autoPict="0" macro="[0]!Macro1">
                <anchor moveWithCells="1" sizeWithCells="1">
                  <from>
                    <xdr:col>8</xdr:col>
                    <xdr:colOff>28575</xdr:colOff>
                    <xdr:row>11</xdr:row>
                    <xdr:rowOff>142875</xdr:rowOff>
                  </from>
                  <to>
                    <xdr:col>9</xdr:col>
                    <xdr:colOff>866775</xdr:colOff>
                    <xdr:row>12</xdr:row>
                    <xdr:rowOff>133350</xdr:rowOff>
                  </to>
                </anchor>
              </controlPr>
            </control>
          </mc:Choice>
        </mc:AlternateContent>
        <mc:AlternateContent xmlns:mc="http://schemas.openxmlformats.org/markup-compatibility/2006">
          <mc:Choice Requires="x14">
            <control shapeId="4105" r:id="rId6" name="Button 9">
              <controlPr defaultSize="0" print="0" autoFill="0" autoPict="0" macro="[0]!Macro2">
                <anchor moveWithCells="1" sizeWithCells="1">
                  <from>
                    <xdr:col>8</xdr:col>
                    <xdr:colOff>19050</xdr:colOff>
                    <xdr:row>13</xdr:row>
                    <xdr:rowOff>114300</xdr:rowOff>
                  </from>
                  <to>
                    <xdr:col>9</xdr:col>
                    <xdr:colOff>866775</xdr:colOff>
                    <xdr:row>14</xdr:row>
                    <xdr:rowOff>123825</xdr:rowOff>
                  </to>
                </anchor>
              </controlPr>
            </control>
          </mc:Choice>
        </mc:AlternateContent>
        <mc:AlternateContent xmlns:mc="http://schemas.openxmlformats.org/markup-compatibility/2006">
          <mc:Choice Requires="x14">
            <control shapeId="4107" r:id="rId7" name="Button 11">
              <controlPr defaultSize="0" print="0" autoFill="0" autoPict="0" macro="[0]!Macro3">
                <anchor moveWithCells="1" sizeWithCells="1">
                  <from>
                    <xdr:col>19</xdr:col>
                    <xdr:colOff>866775</xdr:colOff>
                    <xdr:row>14</xdr:row>
                    <xdr:rowOff>0</xdr:rowOff>
                  </from>
                  <to>
                    <xdr:col>20</xdr:col>
                    <xdr:colOff>1047750</xdr:colOff>
                    <xdr:row>14</xdr:row>
                    <xdr:rowOff>200025</xdr:rowOff>
                  </to>
                </anchor>
              </controlPr>
            </control>
          </mc:Choice>
        </mc:AlternateContent>
        <mc:AlternateContent xmlns:mc="http://schemas.openxmlformats.org/markup-compatibility/2006">
          <mc:Choice Requires="x14">
            <control shapeId="4109" r:id="rId8" name="Button 13">
              <controlPr defaultSize="0" print="0" autoFill="0" autoPict="0" macro="[0]!imprimir_PDF">
                <anchor moveWithCells="1" sizeWithCells="1">
                  <from>
                    <xdr:col>19</xdr:col>
                    <xdr:colOff>866775</xdr:colOff>
                    <xdr:row>12</xdr:row>
                    <xdr:rowOff>0</xdr:rowOff>
                  </from>
                  <to>
                    <xdr:col>20</xdr:col>
                    <xdr:colOff>1047750</xdr:colOff>
                    <xdr:row>12</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6F9BE18-763A-4810-AAE7-4F686EF95D66}">
          <x14:formula1>
            <xm:f>Hoja11!$F$2:$F$4</xm:f>
          </x14:formula1>
          <xm:sqref>C12</xm:sqref>
        </x14:dataValidation>
        <x14:dataValidation type="list" xr:uid="{CB5CE58C-272C-4D25-8B9F-6E441D9D0BF7}">
          <x14:formula1>
            <xm:f>Hoja11!$R$2:$R$5</xm:f>
          </x14:formula1>
          <xm:sqref>N9</xm:sqref>
        </x14:dataValidation>
        <x14:dataValidation type="list" allowBlank="1" showInputMessage="1" showErrorMessage="1" xr:uid="{E88D612E-4030-4D0D-AB4C-ED4C0E8F8D6B}">
          <x14:formula1>
            <xm:f>Hoja11!$K$3:$K$13</xm:f>
          </x14:formula1>
          <xm:sqref>D7:F7</xm:sqref>
        </x14:dataValidation>
        <x14:dataValidation type="list" allowBlank="1" showInputMessage="1" showErrorMessage="1" xr:uid="{38C15350-B435-4D60-83A2-2BD2C1ECD4BF}">
          <x14:formula1>
            <xm:f>Hoja11!$P$3:$P$5</xm:f>
          </x14:formula1>
          <xm:sqref>D9:F9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A9568-EF74-4C67-B6C3-98E2E5BA7A2C}">
  <sheetPr codeName="Hoja8">
    <tabColor rgb="FF00B0F0"/>
  </sheetPr>
  <dimension ref="A1:AP642"/>
  <sheetViews>
    <sheetView zoomScale="80" zoomScaleNormal="80" workbookViewId="0">
      <selection activeCell="N10" sqref="N10"/>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8.140625" bestFit="1" customWidth="1"/>
    <col min="8" max="8" width="1.5703125" customWidth="1"/>
    <col min="9" max="9" width="17.5703125" customWidth="1"/>
    <col min="10" max="10" width="13.28515625" customWidth="1"/>
    <col min="11" max="11" width="12.5703125" customWidth="1"/>
    <col min="12" max="13" width="14.85546875" customWidth="1"/>
    <col min="14" max="14" width="18.1406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8.1406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277" t="s">
        <v>165</v>
      </c>
      <c r="C1" s="277"/>
      <c r="D1" s="277"/>
      <c r="E1" s="277"/>
      <c r="F1" s="277"/>
      <c r="G1" s="277"/>
      <c r="H1" s="277"/>
      <c r="I1" s="277"/>
      <c r="J1" s="277"/>
      <c r="K1" s="277"/>
      <c r="L1" s="277"/>
      <c r="M1" s="277"/>
      <c r="N1" s="277"/>
      <c r="O1" s="277"/>
      <c r="P1" s="277"/>
      <c r="Q1" s="277"/>
      <c r="R1" s="277"/>
      <c r="S1" s="277"/>
      <c r="T1" s="277"/>
      <c r="U1" s="277"/>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24</v>
      </c>
      <c r="AB2" s="73">
        <v>24</v>
      </c>
      <c r="AC2" s="73">
        <v>24</v>
      </c>
      <c r="AD2" s="73">
        <v>23</v>
      </c>
      <c r="AE2" s="73">
        <v>25</v>
      </c>
      <c r="AF2" s="73"/>
      <c r="AG2" s="73"/>
      <c r="AH2" s="73">
        <v>23</v>
      </c>
      <c r="AI2" s="73" t="s">
        <v>47</v>
      </c>
      <c r="AJ2" s="73">
        <v>23</v>
      </c>
      <c r="AK2" s="73">
        <v>23</v>
      </c>
      <c r="AL2" s="73">
        <v>23</v>
      </c>
      <c r="AM2" s="73">
        <v>23</v>
      </c>
      <c r="AN2" s="73">
        <v>25</v>
      </c>
      <c r="AO2" s="68"/>
      <c r="AP2" s="68"/>
    </row>
    <row r="3" spans="1:42" ht="16.5" customHeight="1" x14ac:dyDescent="0.25">
      <c r="B3" s="191" t="s">
        <v>95</v>
      </c>
      <c r="C3" s="191"/>
      <c r="D3" s="302" t="s">
        <v>125</v>
      </c>
      <c r="E3" s="303"/>
      <c r="F3" s="304"/>
      <c r="G3" s="6"/>
      <c r="H3" s="6"/>
      <c r="I3" s="191" t="s">
        <v>121</v>
      </c>
      <c r="J3" s="191"/>
      <c r="K3" s="31"/>
      <c r="L3" s="282" t="s">
        <v>113</v>
      </c>
      <c r="M3" s="282"/>
      <c r="N3" s="282"/>
      <c r="O3" s="6"/>
      <c r="P3" s="189"/>
      <c r="Q3" s="189"/>
      <c r="R3" s="6"/>
      <c r="S3" s="6"/>
      <c r="T3" s="6"/>
      <c r="U3" s="6"/>
      <c r="Y3" s="73">
        <v>29</v>
      </c>
      <c r="Z3" s="73" t="s">
        <v>49</v>
      </c>
      <c r="AA3" s="73">
        <v>30</v>
      </c>
      <c r="AB3" s="73">
        <v>30</v>
      </c>
      <c r="AC3" s="73">
        <v>30</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91" t="s">
        <v>96</v>
      </c>
      <c r="C5" s="191"/>
      <c r="D5" s="302" t="s">
        <v>166</v>
      </c>
      <c r="E5" s="303"/>
      <c r="F5" s="304"/>
      <c r="G5" s="6"/>
      <c r="H5" s="6"/>
      <c r="I5" s="305">
        <f>35*29*8</f>
        <v>8120</v>
      </c>
      <c r="J5" s="306"/>
      <c r="K5" s="31"/>
      <c r="L5" s="194" t="s">
        <v>106</v>
      </c>
      <c r="M5" s="195"/>
      <c r="N5" s="79">
        <v>0.11360000000000001</v>
      </c>
      <c r="O5" s="6"/>
      <c r="P5" s="307"/>
      <c r="Q5" s="307"/>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03"/>
      <c r="Q6" s="203"/>
      <c r="R6" s="67"/>
      <c r="S6" s="6"/>
      <c r="T6" s="6"/>
      <c r="U6" s="6"/>
      <c r="Y6" s="73">
        <v>46</v>
      </c>
      <c r="Z6" s="73" t="s">
        <v>64</v>
      </c>
      <c r="AA6" s="73">
        <v>47</v>
      </c>
      <c r="AB6" s="73">
        <v>47</v>
      </c>
      <c r="AC6" s="73">
        <v>47</v>
      </c>
      <c r="AD6" s="73">
        <v>46</v>
      </c>
      <c r="AE6" s="73">
        <v>48</v>
      </c>
      <c r="AH6" s="73">
        <v>46</v>
      </c>
      <c r="AI6" s="73" t="s">
        <v>64</v>
      </c>
      <c r="AJ6" s="73">
        <v>46</v>
      </c>
      <c r="AK6" s="73">
        <v>46</v>
      </c>
      <c r="AL6" s="73">
        <v>46</v>
      </c>
      <c r="AM6" s="73">
        <v>46</v>
      </c>
      <c r="AN6" s="73">
        <v>48</v>
      </c>
    </row>
    <row r="7" spans="1:42" ht="16.5" customHeight="1" x14ac:dyDescent="0.25">
      <c r="B7" s="191" t="s">
        <v>97</v>
      </c>
      <c r="C7" s="191"/>
      <c r="D7" s="308" t="s">
        <v>89</v>
      </c>
      <c r="E7" s="188"/>
      <c r="F7" s="309"/>
      <c r="G7" s="6"/>
      <c r="H7" s="6"/>
      <c r="I7" s="77"/>
      <c r="J7" s="77"/>
      <c r="K7" s="31"/>
      <c r="L7" s="194" t="s">
        <v>104</v>
      </c>
      <c r="M7" s="195"/>
      <c r="N7" s="81">
        <v>30</v>
      </c>
      <c r="O7" s="6"/>
      <c r="P7" s="203"/>
      <c r="Q7" s="203"/>
      <c r="R7" s="67"/>
      <c r="S7" s="6"/>
      <c r="T7" s="6"/>
      <c r="U7" s="6"/>
      <c r="Y7" s="73">
        <v>52</v>
      </c>
      <c r="Z7" s="73" t="s">
        <v>65</v>
      </c>
      <c r="AA7" s="73">
        <v>53</v>
      </c>
      <c r="AB7" s="73">
        <v>53</v>
      </c>
      <c r="AC7" s="73">
        <v>53</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03"/>
      <c r="Q8" s="203"/>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91" t="s">
        <v>98</v>
      </c>
      <c r="C9" s="191"/>
      <c r="D9" s="308" t="s">
        <v>100</v>
      </c>
      <c r="E9" s="188"/>
      <c r="F9" s="309"/>
      <c r="G9" s="6"/>
      <c r="H9" s="6"/>
      <c r="I9" s="77"/>
      <c r="J9" s="77"/>
      <c r="K9" s="31"/>
      <c r="L9" s="194" t="s">
        <v>105</v>
      </c>
      <c r="M9" s="195"/>
      <c r="N9" s="82">
        <v>900</v>
      </c>
      <c r="O9" s="6"/>
      <c r="P9" s="307"/>
      <c r="Q9" s="307"/>
      <c r="R9" s="8"/>
      <c r="S9" s="6"/>
      <c r="T9" s="6"/>
      <c r="U9" s="6"/>
      <c r="Y9" s="73">
        <v>64</v>
      </c>
      <c r="Z9" s="73" t="s">
        <v>67</v>
      </c>
      <c r="AA9" s="73">
        <v>65</v>
      </c>
      <c r="AB9" s="73">
        <v>65</v>
      </c>
      <c r="AC9" s="73">
        <v>65</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78"/>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281" t="s">
        <v>103</v>
      </c>
      <c r="C11" s="281"/>
      <c r="D11" s="308" t="s">
        <v>31</v>
      </c>
      <c r="E11" s="188"/>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280" t="s">
        <v>107</v>
      </c>
      <c r="C13" s="280"/>
      <c r="D13" s="308" t="s">
        <v>163</v>
      </c>
      <c r="E13" s="188"/>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279" t="s">
        <v>108</v>
      </c>
      <c r="C15" s="279"/>
      <c r="D15" s="308" t="s">
        <v>68</v>
      </c>
      <c r="E15" s="188"/>
      <c r="F15" s="309"/>
      <c r="G15" s="6"/>
      <c r="H15" s="6"/>
      <c r="I15" s="31"/>
      <c r="J15" s="31"/>
      <c r="K15" s="31"/>
      <c r="L15" s="31"/>
      <c r="M15" s="31"/>
      <c r="N15" s="31"/>
      <c r="O15" s="6"/>
      <c r="P15" s="6"/>
      <c r="Q15" s="67"/>
      <c r="R15" s="67"/>
      <c r="S15" s="310"/>
      <c r="T15" s="310"/>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176" t="s">
        <v>8</v>
      </c>
      <c r="C19" s="176"/>
      <c r="D19" s="176"/>
      <c r="E19" s="176"/>
      <c r="F19" s="176"/>
      <c r="G19" s="176"/>
      <c r="H19" s="176"/>
      <c r="I19" s="176"/>
      <c r="J19" s="176"/>
      <c r="K19" s="176"/>
      <c r="L19" s="176"/>
      <c r="M19" s="176"/>
      <c r="N19" s="176"/>
      <c r="O19" s="176"/>
      <c r="P19" s="176"/>
      <c r="Q19" s="176"/>
      <c r="R19" s="176"/>
      <c r="S19" s="176"/>
      <c r="T19" s="176"/>
      <c r="U19" s="176"/>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177" t="s">
        <v>13</v>
      </c>
      <c r="C21" s="179" t="str">
        <f>CONCATENATE("ALTERNATIVA 1: ",$D$11)</f>
        <v>ALTERNATIVA 1: Sodio</v>
      </c>
      <c r="D21" s="179"/>
      <c r="E21" s="179"/>
      <c r="F21" s="179"/>
      <c r="G21" s="179"/>
      <c r="H21" s="15"/>
      <c r="I21" s="190" t="s">
        <v>13</v>
      </c>
      <c r="J21" s="180" t="str">
        <f>CONCATENATE("ALTERNATIVA 1: ",$D$13)</f>
        <v>ALTERNATIVA 1: CMH</v>
      </c>
      <c r="K21" s="180"/>
      <c r="L21" s="180"/>
      <c r="M21" s="180"/>
      <c r="N21" s="180"/>
      <c r="O21" s="15"/>
      <c r="P21" s="181" t="s">
        <v>13</v>
      </c>
      <c r="Q21" s="183" t="str">
        <f>CONCATENATE("ALTERNATIVA 3: ",$D$15)</f>
        <v>ALTERNATIVA 3: LED</v>
      </c>
      <c r="R21" s="184"/>
      <c r="S21" s="184"/>
      <c r="T21" s="184"/>
      <c r="U21" s="181"/>
    </row>
    <row r="22" spans="2:42" ht="21" x14ac:dyDescent="0.25">
      <c r="B22" s="311"/>
      <c r="C22" s="16" t="s">
        <v>72</v>
      </c>
      <c r="D22" s="16" t="s">
        <v>14</v>
      </c>
      <c r="E22" s="16" t="s">
        <v>9</v>
      </c>
      <c r="F22" s="16" t="s">
        <v>10</v>
      </c>
      <c r="G22" s="17" t="s">
        <v>11</v>
      </c>
      <c r="H22" s="18"/>
      <c r="I22" s="190"/>
      <c r="J22" s="19" t="s">
        <v>72</v>
      </c>
      <c r="K22" s="19" t="s">
        <v>14</v>
      </c>
      <c r="L22" s="19" t="s">
        <v>9</v>
      </c>
      <c r="M22" s="19" t="s">
        <v>10</v>
      </c>
      <c r="N22" s="20" t="s">
        <v>11</v>
      </c>
      <c r="O22" s="21"/>
      <c r="P22" s="312"/>
      <c r="Q22" s="22" t="s">
        <v>72</v>
      </c>
      <c r="R22" s="22" t="s">
        <v>14</v>
      </c>
      <c r="S22" s="22" t="s">
        <v>9</v>
      </c>
      <c r="T22" s="22" t="s">
        <v>10</v>
      </c>
      <c r="U22" s="23" t="s">
        <v>11</v>
      </c>
    </row>
    <row r="23" spans="2:42" x14ac:dyDescent="0.25">
      <c r="B23" s="24" t="s">
        <v>127</v>
      </c>
      <c r="C23" s="25">
        <v>78.05</v>
      </c>
      <c r="D23" s="72">
        <v>7.5</v>
      </c>
      <c r="E23" s="25">
        <v>34</v>
      </c>
      <c r="F23" s="26">
        <v>811799</v>
      </c>
      <c r="G23" s="26">
        <f>$F$23*$E$23</f>
        <v>27601166</v>
      </c>
      <c r="H23" s="18"/>
      <c r="I23" s="24" t="s">
        <v>131</v>
      </c>
      <c r="J23" s="25">
        <v>78.05</v>
      </c>
      <c r="K23" s="25">
        <v>7.5</v>
      </c>
      <c r="L23" s="25">
        <v>34</v>
      </c>
      <c r="M23" s="26">
        <v>781135</v>
      </c>
      <c r="N23" s="26">
        <f>$M$23*$L$23</f>
        <v>26558590</v>
      </c>
      <c r="O23" s="21"/>
      <c r="P23" s="24" t="s">
        <v>135</v>
      </c>
      <c r="Q23" s="25">
        <v>41.3</v>
      </c>
      <c r="R23" s="25">
        <v>15</v>
      </c>
      <c r="S23" s="25">
        <v>34</v>
      </c>
      <c r="T23" s="26">
        <v>1219123</v>
      </c>
      <c r="U23" s="26">
        <f>$T$23*$S$23</f>
        <v>41450182</v>
      </c>
    </row>
    <row r="24" spans="2:42" x14ac:dyDescent="0.25">
      <c r="B24" s="24"/>
      <c r="C24" s="25"/>
      <c r="D24" s="25"/>
      <c r="E24" s="25"/>
      <c r="F24" s="26"/>
      <c r="G24" s="26"/>
      <c r="H24" s="18"/>
      <c r="I24" s="24"/>
      <c r="J24" s="25"/>
      <c r="K24" s="25"/>
      <c r="L24" s="25"/>
      <c r="M24" s="26"/>
      <c r="N24" s="26"/>
      <c r="O24" s="21"/>
      <c r="P24" s="24"/>
      <c r="Q24" s="25"/>
      <c r="R24" s="25"/>
      <c r="S24" s="25"/>
      <c r="T24" s="26"/>
      <c r="U24" s="26"/>
    </row>
    <row r="25" spans="2:42" ht="16.5" customHeight="1" x14ac:dyDescent="0.25">
      <c r="B25" s="284" t="s">
        <v>126</v>
      </c>
      <c r="C25" s="285"/>
      <c r="D25" s="285"/>
      <c r="E25" s="285"/>
      <c r="F25" s="285"/>
      <c r="G25" s="27">
        <f>SUM($G$23:$G$24)</f>
        <v>27601166</v>
      </c>
      <c r="H25" s="28"/>
      <c r="I25" s="286" t="s">
        <v>126</v>
      </c>
      <c r="J25" s="287"/>
      <c r="K25" s="287"/>
      <c r="L25" s="287"/>
      <c r="M25" s="287"/>
      <c r="N25" s="29">
        <f>SUM($N$23:$N$24)</f>
        <v>26558590</v>
      </c>
      <c r="O25" s="28"/>
      <c r="P25" s="288" t="s">
        <v>126</v>
      </c>
      <c r="Q25" s="289"/>
      <c r="R25" s="289"/>
      <c r="S25" s="289"/>
      <c r="T25" s="289"/>
      <c r="U25" s="30">
        <f>SUM($U$23:$U$24)</f>
        <v>41450182</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39" t="s">
        <v>15</v>
      </c>
      <c r="C27" s="241" t="str">
        <f>CONCATENATE("ALTERNATIVA 1: ",$D$11)</f>
        <v>ALTERNATIVA 1: Sodio</v>
      </c>
      <c r="D27" s="241"/>
      <c r="E27" s="241"/>
      <c r="F27" s="241"/>
      <c r="G27" s="241"/>
      <c r="H27" s="35"/>
      <c r="I27" s="248" t="s">
        <v>15</v>
      </c>
      <c r="J27" s="244" t="str">
        <f>CONCATENATE("ALTERNATIVA 1: ",$D$13)</f>
        <v>ALTERNATIVA 1: CMH</v>
      </c>
      <c r="K27" s="244"/>
      <c r="L27" s="244"/>
      <c r="M27" s="244"/>
      <c r="N27" s="245"/>
      <c r="O27" s="35"/>
      <c r="P27" s="246" t="s">
        <v>15</v>
      </c>
      <c r="Q27" s="236" t="str">
        <f>CONCATENATE("ALTERNATIVA 3: ",$D$15)</f>
        <v>ALTERNATIVA 3: LED</v>
      </c>
      <c r="R27" s="237"/>
      <c r="S27" s="237"/>
      <c r="T27" s="237"/>
      <c r="U27" s="238"/>
    </row>
    <row r="28" spans="2:42" ht="21" x14ac:dyDescent="0.25">
      <c r="B28" s="301"/>
      <c r="C28" s="36" t="s">
        <v>30</v>
      </c>
      <c r="D28" s="36" t="s">
        <v>14</v>
      </c>
      <c r="E28" s="36" t="s">
        <v>9</v>
      </c>
      <c r="F28" s="36" t="s">
        <v>10</v>
      </c>
      <c r="G28" s="37" t="s">
        <v>11</v>
      </c>
      <c r="H28" s="18"/>
      <c r="I28" s="248"/>
      <c r="J28" s="38" t="s">
        <v>30</v>
      </c>
      <c r="K28" s="39" t="s">
        <v>14</v>
      </c>
      <c r="L28" s="39" t="s">
        <v>9</v>
      </c>
      <c r="M28" s="39" t="s">
        <v>10</v>
      </c>
      <c r="N28" s="40" t="s">
        <v>11</v>
      </c>
      <c r="O28" s="21"/>
      <c r="P28" s="313"/>
      <c r="Q28" s="41" t="s">
        <v>30</v>
      </c>
      <c r="R28" s="41" t="s">
        <v>14</v>
      </c>
      <c r="S28" s="41" t="s">
        <v>9</v>
      </c>
      <c r="T28" s="41" t="s">
        <v>10</v>
      </c>
      <c r="U28" s="42" t="s">
        <v>11</v>
      </c>
    </row>
    <row r="29" spans="2:42" x14ac:dyDescent="0.25">
      <c r="B29" s="24" t="s">
        <v>143</v>
      </c>
      <c r="C29" s="25" t="s">
        <v>37</v>
      </c>
      <c r="D29" s="25">
        <v>30</v>
      </c>
      <c r="E29" s="25">
        <v>34</v>
      </c>
      <c r="F29" s="26">
        <v>659715</v>
      </c>
      <c r="G29" s="26">
        <f>$F$29*$E$29</f>
        <v>22430310</v>
      </c>
      <c r="H29" s="18"/>
      <c r="I29" s="24" t="s">
        <v>143</v>
      </c>
      <c r="J29" s="25" t="s">
        <v>37</v>
      </c>
      <c r="K29" s="25">
        <v>30</v>
      </c>
      <c r="L29" s="25">
        <v>34</v>
      </c>
      <c r="M29" s="26">
        <v>659715</v>
      </c>
      <c r="N29" s="26">
        <f>$M$29*$L$29</f>
        <v>22430310</v>
      </c>
      <c r="O29" s="21"/>
      <c r="P29" s="24" t="s">
        <v>143</v>
      </c>
      <c r="Q29" s="25" t="s">
        <v>37</v>
      </c>
      <c r="R29" s="25">
        <v>30</v>
      </c>
      <c r="S29" s="25">
        <v>34</v>
      </c>
      <c r="T29" s="26">
        <v>659715</v>
      </c>
      <c r="U29" s="26">
        <f>$T$29*$S$29</f>
        <v>22430310</v>
      </c>
    </row>
    <row r="30" spans="2:42" x14ac:dyDescent="0.25">
      <c r="B30" s="24"/>
      <c r="C30" s="25"/>
      <c r="D30" s="25"/>
      <c r="E30" s="25"/>
      <c r="F30" s="26"/>
      <c r="G30" s="26"/>
      <c r="H30" s="18"/>
      <c r="I30" s="24"/>
      <c r="J30" s="25"/>
      <c r="K30" s="25"/>
      <c r="L30" s="25"/>
      <c r="M30" s="26"/>
      <c r="N30" s="26"/>
      <c r="O30" s="21"/>
      <c r="P30" s="24"/>
      <c r="Q30" s="25"/>
      <c r="R30" s="25"/>
      <c r="S30" s="25"/>
      <c r="T30" s="26"/>
      <c r="U30" s="26"/>
    </row>
    <row r="31" spans="2:42" x14ac:dyDescent="0.25">
      <c r="B31" s="293" t="s">
        <v>126</v>
      </c>
      <c r="C31" s="294"/>
      <c r="D31" s="294"/>
      <c r="E31" s="294"/>
      <c r="F31" s="294"/>
      <c r="G31" s="43">
        <f>SUM($G$29:$G$30)</f>
        <v>22430310</v>
      </c>
      <c r="H31" s="28"/>
      <c r="I31" s="295" t="s">
        <v>126</v>
      </c>
      <c r="J31" s="296"/>
      <c r="K31" s="296"/>
      <c r="L31" s="296"/>
      <c r="M31" s="296"/>
      <c r="N31" s="44">
        <f>SUM($N$29:$N$30)</f>
        <v>22430310</v>
      </c>
      <c r="O31" s="28"/>
      <c r="P31" s="297" t="s">
        <v>126</v>
      </c>
      <c r="Q31" s="298"/>
      <c r="R31" s="298"/>
      <c r="S31" s="298"/>
      <c r="T31" s="298"/>
      <c r="U31" s="45">
        <f>SUM($U$29:$U$30)</f>
        <v>22430310</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24" t="s">
        <v>45</v>
      </c>
      <c r="C33" s="226" t="str">
        <f>CONCATENATE("ALTERNATIVA 1: ",$D$11)</f>
        <v>ALTERNATIVA 1: Sodio</v>
      </c>
      <c r="D33" s="226"/>
      <c r="E33" s="226"/>
      <c r="F33" s="226"/>
      <c r="G33" s="226"/>
      <c r="H33" s="35"/>
      <c r="I33" s="222" t="s">
        <v>45</v>
      </c>
      <c r="J33" s="227" t="str">
        <f>CONCATENATE("ALTERNATIVA 1: ",$D$13)</f>
        <v>ALTERNATIVA 1: CMH</v>
      </c>
      <c r="K33" s="227"/>
      <c r="L33" s="227"/>
      <c r="M33" s="227"/>
      <c r="N33" s="227"/>
      <c r="O33" s="35"/>
      <c r="P33" s="228" t="s">
        <v>45</v>
      </c>
      <c r="Q33" s="219" t="str">
        <f>CONCATENATE("ALTERNATIVA 3: ",$D$15)</f>
        <v>ALTERNATIVA 3: LED</v>
      </c>
      <c r="R33" s="220"/>
      <c r="S33" s="220"/>
      <c r="T33" s="220"/>
      <c r="U33" s="221"/>
    </row>
    <row r="34" spans="2:42" ht="21" x14ac:dyDescent="0.25">
      <c r="B34" s="299"/>
      <c r="C34" s="46" t="s">
        <v>46</v>
      </c>
      <c r="D34" s="46" t="s">
        <v>14</v>
      </c>
      <c r="E34" s="46" t="s">
        <v>9</v>
      </c>
      <c r="F34" s="46" t="s">
        <v>10</v>
      </c>
      <c r="G34" s="47" t="s">
        <v>11</v>
      </c>
      <c r="H34" s="18"/>
      <c r="I34" s="223"/>
      <c r="J34" s="48" t="s">
        <v>46</v>
      </c>
      <c r="K34" s="49" t="s">
        <v>14</v>
      </c>
      <c r="L34" s="49" t="s">
        <v>9</v>
      </c>
      <c r="M34" s="49" t="s">
        <v>10</v>
      </c>
      <c r="N34" s="50" t="s">
        <v>11</v>
      </c>
      <c r="O34" s="21"/>
      <c r="P34" s="300"/>
      <c r="Q34" s="51" t="s">
        <v>46</v>
      </c>
      <c r="R34" s="51" t="s">
        <v>14</v>
      </c>
      <c r="S34" s="51" t="s">
        <v>9</v>
      </c>
      <c r="T34" s="51" t="s">
        <v>10</v>
      </c>
      <c r="U34" s="52" t="s">
        <v>11</v>
      </c>
    </row>
    <row r="35" spans="2:42" x14ac:dyDescent="0.25">
      <c r="B35" s="24" t="s">
        <v>153</v>
      </c>
      <c r="C35" s="83" t="s">
        <v>153</v>
      </c>
      <c r="D35" s="25">
        <v>30</v>
      </c>
      <c r="E35" s="25">
        <v>1</v>
      </c>
      <c r="F35" s="26">
        <v>2742905</v>
      </c>
      <c r="G35" s="26">
        <f>$F$35*$E$35</f>
        <v>2742905</v>
      </c>
      <c r="H35" s="18"/>
      <c r="I35" s="24" t="s">
        <v>153</v>
      </c>
      <c r="J35" s="83" t="s">
        <v>153</v>
      </c>
      <c r="K35" s="25">
        <v>30</v>
      </c>
      <c r="L35" s="25">
        <v>1</v>
      </c>
      <c r="M35" s="26">
        <v>2742905</v>
      </c>
      <c r="N35" s="26">
        <f>$M$35*$L$35</f>
        <v>2742905</v>
      </c>
      <c r="O35" s="21"/>
      <c r="P35" s="24" t="s">
        <v>153</v>
      </c>
      <c r="Q35" s="83" t="s">
        <v>153</v>
      </c>
      <c r="R35" s="25">
        <v>30</v>
      </c>
      <c r="S35" s="25">
        <v>1</v>
      </c>
      <c r="T35" s="26">
        <v>2742905</v>
      </c>
      <c r="U35" s="26">
        <f>$T$35*$S$35</f>
        <v>2742905</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317" t="s">
        <v>126</v>
      </c>
      <c r="C37" s="318"/>
      <c r="D37" s="318"/>
      <c r="E37" s="318"/>
      <c r="F37" s="318"/>
      <c r="G37" s="53">
        <f>SUM($G$35:$G$36)</f>
        <v>2742905</v>
      </c>
      <c r="H37" s="28"/>
      <c r="I37" s="319" t="s">
        <v>126</v>
      </c>
      <c r="J37" s="320"/>
      <c r="K37" s="320"/>
      <c r="L37" s="320"/>
      <c r="M37" s="320"/>
      <c r="N37" s="54">
        <f>SUM($N$35:$N$36)</f>
        <v>2742905</v>
      </c>
      <c r="O37" s="28"/>
      <c r="P37" s="321" t="s">
        <v>126</v>
      </c>
      <c r="Q37" s="322"/>
      <c r="R37" s="322"/>
      <c r="S37" s="322"/>
      <c r="T37" s="322"/>
      <c r="U37" s="55">
        <f>SUM($U$35:$U$36)</f>
        <v>2742905</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265" t="s">
        <v>59</v>
      </c>
      <c r="C39" s="266"/>
      <c r="D39" s="266"/>
      <c r="E39" s="266"/>
      <c r="F39" s="266"/>
      <c r="G39" s="59">
        <f>+G37+G31+G25</f>
        <v>52774381</v>
      </c>
      <c r="H39" s="11"/>
      <c r="I39" s="267" t="s">
        <v>60</v>
      </c>
      <c r="J39" s="268"/>
      <c r="K39" s="268"/>
      <c r="L39" s="268"/>
      <c r="M39" s="268"/>
      <c r="N39" s="60">
        <f>+N37+N31+N25</f>
        <v>51731805</v>
      </c>
      <c r="O39" s="11"/>
      <c r="P39" s="269" t="s">
        <v>61</v>
      </c>
      <c r="Q39" s="270"/>
      <c r="R39" s="270"/>
      <c r="S39" s="270"/>
      <c r="T39" s="270"/>
      <c r="U39" s="58">
        <f>+U37+U31+U25</f>
        <v>66623397</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176" t="s">
        <v>29</v>
      </c>
      <c r="C42" s="176"/>
      <c r="D42" s="176"/>
      <c r="E42" s="176"/>
      <c r="F42" s="176"/>
      <c r="G42" s="176"/>
      <c r="H42" s="176"/>
      <c r="I42" s="176"/>
      <c r="J42" s="176"/>
      <c r="K42" s="176"/>
      <c r="L42" s="176"/>
      <c r="M42" s="176"/>
      <c r="N42" s="176"/>
      <c r="O42" s="176"/>
      <c r="P42" s="176"/>
      <c r="Q42" s="176"/>
      <c r="R42" s="176"/>
      <c r="S42" s="176"/>
      <c r="T42" s="176"/>
      <c r="U42" s="176"/>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59" t="s">
        <v>56</v>
      </c>
      <c r="C44" s="179" t="str">
        <f>CONCATENATE("ALTERNATIVA 1: ",$D$11)</f>
        <v>ALTERNATIVA 1: Sodio</v>
      </c>
      <c r="D44" s="179"/>
      <c r="E44" s="179"/>
      <c r="F44" s="179"/>
      <c r="G44" s="179"/>
      <c r="H44" s="15"/>
      <c r="I44" s="261" t="s">
        <v>56</v>
      </c>
      <c r="J44" s="180" t="str">
        <f>CONCATENATE("ALTERNATIVA 1: ",$D$13)</f>
        <v>ALTERNATIVA 1: CMH</v>
      </c>
      <c r="K44" s="180"/>
      <c r="L44" s="180"/>
      <c r="M44" s="180"/>
      <c r="N44" s="180"/>
      <c r="O44" s="15"/>
      <c r="P44" s="263" t="s">
        <v>56</v>
      </c>
      <c r="Q44" s="183" t="str">
        <f>CONCATENATE("ALTERNATIVA 3: ",$D$15)</f>
        <v>ALTERNATIVA 3: LED</v>
      </c>
      <c r="R44" s="184"/>
      <c r="S44" s="184"/>
      <c r="T44" s="184"/>
      <c r="U44" s="181"/>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314"/>
      <c r="C45" s="16" t="s">
        <v>12</v>
      </c>
      <c r="D45" s="16" t="s">
        <v>14</v>
      </c>
      <c r="E45" s="16" t="s">
        <v>76</v>
      </c>
      <c r="F45" s="16" t="s">
        <v>77</v>
      </c>
      <c r="G45" s="17" t="s">
        <v>11</v>
      </c>
      <c r="H45" s="18"/>
      <c r="I45" s="315"/>
      <c r="J45" s="56" t="s">
        <v>12</v>
      </c>
      <c r="K45" s="19" t="s">
        <v>14</v>
      </c>
      <c r="L45" s="19" t="s">
        <v>76</v>
      </c>
      <c r="M45" s="19" t="s">
        <v>77</v>
      </c>
      <c r="N45" s="20" t="s">
        <v>11</v>
      </c>
      <c r="O45" s="21"/>
      <c r="P45" s="316"/>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127</v>
      </c>
      <c r="C46" s="25">
        <v>78.05</v>
      </c>
      <c r="D46" s="72">
        <v>7.5</v>
      </c>
      <c r="E46" s="70">
        <f>IF($N$7&gt;$D$46,(($N$7/$D$46)-1)*$E$23,0)</f>
        <v>102</v>
      </c>
      <c r="F46" s="26">
        <v>811799</v>
      </c>
      <c r="G46" s="26">
        <f>$F$46*$E$46</f>
        <v>82803498</v>
      </c>
      <c r="H46" s="18"/>
      <c r="I46" s="24" t="s">
        <v>131</v>
      </c>
      <c r="J46" s="25">
        <v>78.05</v>
      </c>
      <c r="K46" s="25">
        <v>7.5</v>
      </c>
      <c r="L46" s="70">
        <f>IF($N$7&gt;$K$46,(($N$7/$K$46)-1)*$L$23,0)</f>
        <v>102</v>
      </c>
      <c r="M46" s="26">
        <v>781135</v>
      </c>
      <c r="N46" s="26">
        <f>$M$46*$L$46</f>
        <v>79675770</v>
      </c>
      <c r="O46" s="21"/>
      <c r="P46" s="24" t="s">
        <v>135</v>
      </c>
      <c r="Q46" s="25">
        <v>41.3</v>
      </c>
      <c r="R46" s="25">
        <v>15</v>
      </c>
      <c r="S46" s="70">
        <f>IF($N$7&gt;$R$46,(($N$7/$R$46)-1)*$S$23,0)</f>
        <v>34</v>
      </c>
      <c r="T46" s="26">
        <v>1219123</v>
      </c>
      <c r="U46" s="26">
        <f>$T$46*$S$46</f>
        <v>41450182</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c r="C47" s="25"/>
      <c r="D47" s="25"/>
      <c r="E47" s="70"/>
      <c r="F47" s="26"/>
      <c r="G47" s="26"/>
      <c r="H47" s="18"/>
      <c r="I47" s="24"/>
      <c r="J47" s="25"/>
      <c r="K47" s="25"/>
      <c r="L47" s="70"/>
      <c r="M47" s="26"/>
      <c r="N47" s="26"/>
      <c r="O47" s="21"/>
      <c r="P47" s="24"/>
      <c r="Q47" s="25"/>
      <c r="R47" s="25"/>
      <c r="S47" s="70"/>
      <c r="T47" s="26"/>
      <c r="U47" s="26"/>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4" t="s">
        <v>126</v>
      </c>
      <c r="C48" s="285"/>
      <c r="D48" s="285"/>
      <c r="E48" s="285"/>
      <c r="F48" s="285"/>
      <c r="G48" s="27">
        <f>SUM($G$46:$G$47)</f>
        <v>82803498</v>
      </c>
      <c r="H48" s="28"/>
      <c r="I48" s="286" t="s">
        <v>126</v>
      </c>
      <c r="J48" s="287"/>
      <c r="K48" s="287"/>
      <c r="L48" s="287"/>
      <c r="M48" s="287"/>
      <c r="N48" s="29">
        <f>SUM($N$46:$N$47)</f>
        <v>79675770</v>
      </c>
      <c r="O48" s="28"/>
      <c r="P48" s="288" t="s">
        <v>126</v>
      </c>
      <c r="Q48" s="289"/>
      <c r="R48" s="289"/>
      <c r="S48" s="289"/>
      <c r="T48" s="289"/>
      <c r="U48" s="30">
        <f>SUM($U$46:$U$47)</f>
        <v>41450182</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71" t="s">
        <v>57</v>
      </c>
      <c r="C50" s="241" t="str">
        <f>CONCATENATE("ALTERNATIVA 1: ",$D$11)</f>
        <v>ALTERNATIVA 1: Sodio</v>
      </c>
      <c r="D50" s="241"/>
      <c r="E50" s="241"/>
      <c r="F50" s="241"/>
      <c r="G50" s="241"/>
      <c r="H50" s="35"/>
      <c r="I50" s="273" t="s">
        <v>57</v>
      </c>
      <c r="J50" s="244" t="str">
        <f>CONCATENATE("ALTERNATIVA 1: ",$D$13)</f>
        <v>ALTERNATIVA 1: CMH</v>
      </c>
      <c r="K50" s="244"/>
      <c r="L50" s="244"/>
      <c r="M50" s="244"/>
      <c r="N50" s="245"/>
      <c r="O50" s="35"/>
      <c r="P50" s="275" t="s">
        <v>57</v>
      </c>
      <c r="Q50" s="236" t="str">
        <f>CONCATENATE("ALTERNATIVA 3: ",$D$15)</f>
        <v>ALTERNATIVA 3: LED</v>
      </c>
      <c r="R50" s="237"/>
      <c r="S50" s="237"/>
      <c r="T50" s="237"/>
      <c r="U50" s="238"/>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290"/>
      <c r="C51" s="36" t="s">
        <v>30</v>
      </c>
      <c r="D51" s="36" t="s">
        <v>14</v>
      </c>
      <c r="E51" s="36" t="s">
        <v>76</v>
      </c>
      <c r="F51" s="36" t="s">
        <v>77</v>
      </c>
      <c r="G51" s="37" t="s">
        <v>11</v>
      </c>
      <c r="H51" s="18"/>
      <c r="I51" s="291"/>
      <c r="J51" s="38" t="s">
        <v>30</v>
      </c>
      <c r="K51" s="39" t="s">
        <v>14</v>
      </c>
      <c r="L51" s="39" t="s">
        <v>76</v>
      </c>
      <c r="M51" s="39" t="s">
        <v>77</v>
      </c>
      <c r="N51" s="40" t="s">
        <v>11</v>
      </c>
      <c r="O51" s="21"/>
      <c r="P51" s="292"/>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143</v>
      </c>
      <c r="C52" s="25" t="s">
        <v>37</v>
      </c>
      <c r="D52" s="25">
        <v>30</v>
      </c>
      <c r="E52" s="72">
        <f>IF($N$7&gt;$D$52,(($N$7/$D$52)-1)*$E$29,0)</f>
        <v>0</v>
      </c>
      <c r="F52" s="26">
        <v>659715</v>
      </c>
      <c r="G52" s="26">
        <f>$F$52*$E$52</f>
        <v>0</v>
      </c>
      <c r="H52" s="18"/>
      <c r="I52" s="24" t="s">
        <v>143</v>
      </c>
      <c r="J52" s="25" t="s">
        <v>37</v>
      </c>
      <c r="K52" s="25">
        <v>30</v>
      </c>
      <c r="L52" s="72">
        <f>IF($N$7&gt;$K$52,(($N$7/$K$52)-1)*$L$29,0)</f>
        <v>0</v>
      </c>
      <c r="M52" s="26">
        <v>659715</v>
      </c>
      <c r="N52" s="26">
        <f>$M$52*$L$52</f>
        <v>0</v>
      </c>
      <c r="O52" s="21"/>
      <c r="P52" s="24" t="s">
        <v>143</v>
      </c>
      <c r="Q52" s="25" t="s">
        <v>37</v>
      </c>
      <c r="R52" s="25">
        <v>30</v>
      </c>
      <c r="S52" s="72">
        <f>IF($N$7&gt;$R$52,(($N$7/$R$52)-1)*$S$29,0)</f>
        <v>0</v>
      </c>
      <c r="T52" s="26">
        <v>659715</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c r="C53" s="25"/>
      <c r="D53" s="25"/>
      <c r="E53" s="72"/>
      <c r="F53" s="26"/>
      <c r="G53" s="26"/>
      <c r="H53" s="18"/>
      <c r="I53" s="24"/>
      <c r="J53" s="25"/>
      <c r="K53" s="25"/>
      <c r="L53" s="72"/>
      <c r="M53" s="26"/>
      <c r="N53" s="26"/>
      <c r="O53" s="21"/>
      <c r="P53" s="24"/>
      <c r="Q53" s="25"/>
      <c r="R53" s="25"/>
      <c r="S53" s="72"/>
      <c r="T53" s="26"/>
      <c r="U53" s="26"/>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3" t="s">
        <v>126</v>
      </c>
      <c r="C54" s="294"/>
      <c r="D54" s="294"/>
      <c r="E54" s="294"/>
      <c r="F54" s="294"/>
      <c r="G54" s="43">
        <f>SUM($G$52:$G$53)</f>
        <v>0</v>
      </c>
      <c r="H54" s="28"/>
      <c r="I54" s="295" t="s">
        <v>126</v>
      </c>
      <c r="J54" s="296"/>
      <c r="K54" s="296"/>
      <c r="L54" s="296"/>
      <c r="M54" s="296"/>
      <c r="N54" s="44">
        <f>SUM($N$52:$N$53)</f>
        <v>0</v>
      </c>
      <c r="O54" s="28"/>
      <c r="P54" s="297" t="s">
        <v>126</v>
      </c>
      <c r="Q54" s="298"/>
      <c r="R54" s="298"/>
      <c r="S54" s="298"/>
      <c r="T54" s="298"/>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51" t="s">
        <v>58</v>
      </c>
      <c r="C56" s="253" t="str">
        <f>CONCATENATE("ALTERNATIVA 1: ",$D$11)</f>
        <v>ALTERNATIVA 1: Sodio</v>
      </c>
      <c r="D56" s="226"/>
      <c r="E56" s="226"/>
      <c r="F56" s="226"/>
      <c r="G56" s="254"/>
      <c r="H56" s="35"/>
      <c r="I56" s="255" t="s">
        <v>58</v>
      </c>
      <c r="J56" s="227" t="str">
        <f>CONCATENATE("ALTERNATIVA 1: ",$D$13)</f>
        <v>ALTERNATIVA 1: CMH</v>
      </c>
      <c r="K56" s="227"/>
      <c r="L56" s="227"/>
      <c r="M56" s="227"/>
      <c r="N56" s="227"/>
      <c r="O56" s="35"/>
      <c r="P56" s="257" t="s">
        <v>58</v>
      </c>
      <c r="Q56" s="219" t="str">
        <f>CONCATENATE("ALTERNATIVA 3: ",$D$15)</f>
        <v>ALTERNATIVA 3: LED</v>
      </c>
      <c r="R56" s="220"/>
      <c r="S56" s="220"/>
      <c r="T56" s="220"/>
      <c r="U56" s="221"/>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23"/>
      <c r="C57" s="46" t="s">
        <v>46</v>
      </c>
      <c r="D57" s="46" t="s">
        <v>14</v>
      </c>
      <c r="E57" s="46" t="s">
        <v>76</v>
      </c>
      <c r="F57" s="46" t="s">
        <v>77</v>
      </c>
      <c r="G57" s="47" t="s">
        <v>11</v>
      </c>
      <c r="H57" s="18"/>
      <c r="I57" s="324"/>
      <c r="J57" s="48" t="s">
        <v>46</v>
      </c>
      <c r="K57" s="49" t="s">
        <v>14</v>
      </c>
      <c r="L57" s="49" t="s">
        <v>76</v>
      </c>
      <c r="M57" s="49" t="s">
        <v>77</v>
      </c>
      <c r="N57" s="50" t="s">
        <v>11</v>
      </c>
      <c r="O57" s="21"/>
      <c r="P57" s="325"/>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153</v>
      </c>
      <c r="C58" s="83" t="s">
        <v>153</v>
      </c>
      <c r="D58" s="25">
        <v>30</v>
      </c>
      <c r="E58" s="25">
        <f>IF($N$7&gt;$D$58,(($N$7/$D$58)-1)*$E$35,0)</f>
        <v>0</v>
      </c>
      <c r="F58" s="26">
        <v>2742905</v>
      </c>
      <c r="G58" s="26">
        <f>$F$58*$E$58</f>
        <v>0</v>
      </c>
      <c r="H58" s="18"/>
      <c r="I58" s="24" t="s">
        <v>153</v>
      </c>
      <c r="J58" s="83" t="s">
        <v>153</v>
      </c>
      <c r="K58" s="25">
        <v>30</v>
      </c>
      <c r="L58" s="25">
        <f>IF($N$7&gt;$K$58,(($N$7/$K$58)-1)*$L$35,0)</f>
        <v>0</v>
      </c>
      <c r="M58" s="26">
        <v>2742905</v>
      </c>
      <c r="N58" s="26">
        <f>$M$58*$L$58</f>
        <v>0</v>
      </c>
      <c r="O58" s="21"/>
      <c r="P58" s="24" t="s">
        <v>153</v>
      </c>
      <c r="Q58" s="83" t="s">
        <v>153</v>
      </c>
      <c r="R58" s="25">
        <v>30</v>
      </c>
      <c r="S58" s="25">
        <f>IF($N$7&gt;$R$58,(($N$7/$R$58)-1)*$S$35,0)</f>
        <v>0</v>
      </c>
      <c r="T58" s="26">
        <v>2742905</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317" t="s">
        <v>126</v>
      </c>
      <c r="C60" s="318"/>
      <c r="D60" s="318"/>
      <c r="E60" s="318"/>
      <c r="F60" s="318"/>
      <c r="G60" s="53">
        <f>SUM($G$58:$G$59)</f>
        <v>0</v>
      </c>
      <c r="H60" s="28"/>
      <c r="I60" s="319" t="s">
        <v>126</v>
      </c>
      <c r="J60" s="320"/>
      <c r="K60" s="320"/>
      <c r="L60" s="320"/>
      <c r="M60" s="320"/>
      <c r="N60" s="54">
        <f>SUM($N$58:$N$59)</f>
        <v>0</v>
      </c>
      <c r="O60" s="28"/>
      <c r="P60" s="321" t="s">
        <v>126</v>
      </c>
      <c r="Q60" s="322"/>
      <c r="R60" s="322"/>
      <c r="S60" s="322"/>
      <c r="T60" s="32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59" t="s">
        <v>74</v>
      </c>
      <c r="C62" s="179" t="str">
        <f>CONCATENATE("ALTERNATIVA 1: ",$D$11)</f>
        <v>ALTERNATIVA 1: Sodio</v>
      </c>
      <c r="D62" s="179"/>
      <c r="E62" s="179"/>
      <c r="F62" s="179"/>
      <c r="G62" s="179"/>
      <c r="H62" s="15"/>
      <c r="I62" s="261" t="s">
        <v>74</v>
      </c>
      <c r="J62" s="180" t="str">
        <f>CONCATENATE("ALTERNATIVA 1: ",$D$13)</f>
        <v>ALTERNATIVA 1: CMH</v>
      </c>
      <c r="K62" s="180"/>
      <c r="L62" s="180"/>
      <c r="M62" s="180"/>
      <c r="N62" s="180"/>
      <c r="O62" s="15"/>
      <c r="P62" s="263" t="s">
        <v>74</v>
      </c>
      <c r="Q62" s="183" t="str">
        <f>CONCATENATE("ALTERNATIVA 3: ",$D$15)</f>
        <v>ALTERNATIVA 3: LED</v>
      </c>
      <c r="R62" s="184"/>
      <c r="S62" s="184"/>
      <c r="T62" s="184"/>
      <c r="U62" s="181"/>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314"/>
      <c r="C63" s="16" t="s">
        <v>72</v>
      </c>
      <c r="D63" s="16" t="s">
        <v>75</v>
      </c>
      <c r="E63" s="16" t="s">
        <v>9</v>
      </c>
      <c r="F63" s="84" t="s">
        <v>73</v>
      </c>
      <c r="G63" s="17" t="s">
        <v>11</v>
      </c>
      <c r="H63" s="18"/>
      <c r="I63" s="315"/>
      <c r="J63" s="19" t="s">
        <v>72</v>
      </c>
      <c r="K63" s="19" t="s">
        <v>75</v>
      </c>
      <c r="L63" s="19" t="s">
        <v>9</v>
      </c>
      <c r="M63" s="13" t="s">
        <v>73</v>
      </c>
      <c r="N63" s="57" t="s">
        <v>11</v>
      </c>
      <c r="O63" s="21"/>
      <c r="P63" s="316"/>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127</v>
      </c>
      <c r="C64" s="25">
        <v>78.05</v>
      </c>
      <c r="D64" s="25">
        <v>12</v>
      </c>
      <c r="E64" s="25">
        <v>34</v>
      </c>
      <c r="F64" s="26">
        <f>$C$64*$D$64*(365/1000)*$N$9</f>
        <v>307673.09999999998</v>
      </c>
      <c r="G64" s="26">
        <f>$F$64*$E$64</f>
        <v>10460885.399999999</v>
      </c>
      <c r="H64" s="18"/>
      <c r="I64" s="24" t="s">
        <v>131</v>
      </c>
      <c r="J64" s="25">
        <v>78.05</v>
      </c>
      <c r="K64" s="25">
        <v>12</v>
      </c>
      <c r="L64" s="25">
        <v>34</v>
      </c>
      <c r="M64" s="26">
        <f>$J$64*$K$64*(365/1000)*$N$9</f>
        <v>307673.09999999998</v>
      </c>
      <c r="N64" s="26">
        <f>$M$64*$L$64</f>
        <v>10460885.399999999</v>
      </c>
      <c r="O64" s="21"/>
      <c r="P64" s="24" t="s">
        <v>135</v>
      </c>
      <c r="Q64" s="25">
        <v>41.3</v>
      </c>
      <c r="R64" s="25">
        <v>12</v>
      </c>
      <c r="S64" s="25">
        <v>34</v>
      </c>
      <c r="T64" s="26">
        <f>$Q$64*$R$64*(365/1000)*$N$9</f>
        <v>162804.59999999998</v>
      </c>
      <c r="U64" s="26">
        <f>$T$64*$S$64</f>
        <v>5535356.3999999994</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c r="C65" s="25"/>
      <c r="D65" s="25"/>
      <c r="E65" s="25"/>
      <c r="F65" s="26"/>
      <c r="G65" s="26"/>
      <c r="H65" s="18"/>
      <c r="I65" s="24"/>
      <c r="J65" s="25"/>
      <c r="K65" s="25"/>
      <c r="L65" s="25"/>
      <c r="M65" s="26"/>
      <c r="N65" s="26"/>
      <c r="O65" s="21"/>
      <c r="P65" s="24"/>
      <c r="Q65" s="25"/>
      <c r="R65" s="25"/>
      <c r="S65" s="25"/>
      <c r="T65" s="26"/>
      <c r="U65" s="26"/>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4" t="s">
        <v>53</v>
      </c>
      <c r="C66" s="285"/>
      <c r="D66" s="285"/>
      <c r="E66" s="285"/>
      <c r="F66" s="285"/>
      <c r="G66" s="71">
        <f>SUM($G$64:$G$65)</f>
        <v>10460885.399999999</v>
      </c>
      <c r="H66" s="28"/>
      <c r="I66" s="286" t="s">
        <v>126</v>
      </c>
      <c r="J66" s="287"/>
      <c r="K66" s="287"/>
      <c r="L66" s="287"/>
      <c r="M66" s="287"/>
      <c r="N66" s="29">
        <f>SUM($N$64:$N$65)</f>
        <v>10460885.399999999</v>
      </c>
      <c r="O66" s="28"/>
      <c r="P66" s="288" t="s">
        <v>126</v>
      </c>
      <c r="Q66" s="289"/>
      <c r="R66" s="289"/>
      <c r="S66" s="289"/>
      <c r="T66" s="289"/>
      <c r="U66" s="30">
        <f>SUM($U$64:$U$65)</f>
        <v>5535356.3999999994</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4" t="s">
        <v>109</v>
      </c>
      <c r="C68" s="285"/>
      <c r="D68" s="285"/>
      <c r="E68" s="285"/>
      <c r="F68" s="285"/>
      <c r="G68" s="86">
        <f>SUMPRODUCT($C$64:$C$65,$E$64:$E$65)/1000</f>
        <v>2.6536999999999997</v>
      </c>
      <c r="H68" s="11"/>
      <c r="I68" s="286" t="s">
        <v>109</v>
      </c>
      <c r="J68" s="287"/>
      <c r="K68" s="287"/>
      <c r="L68" s="287"/>
      <c r="M68" s="287"/>
      <c r="N68" s="87">
        <f>SUMPRODUCT($J$64:$J$65,$L$64:$L$65)/1000</f>
        <v>2.6536999999999997</v>
      </c>
      <c r="O68" s="11"/>
      <c r="P68" s="288" t="s">
        <v>109</v>
      </c>
      <c r="Q68" s="289"/>
      <c r="R68" s="289"/>
      <c r="S68" s="289"/>
      <c r="T68" s="289"/>
      <c r="U68" s="88">
        <f>SUMPRODUCT($Q$64:$Q$65,$S$64:$S$65)/1000</f>
        <v>1.4041999999999999</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4" t="s">
        <v>111</v>
      </c>
      <c r="C69" s="285"/>
      <c r="D69" s="285"/>
      <c r="E69" s="285"/>
      <c r="F69" s="285"/>
      <c r="G69" s="86">
        <f>SUMPRODUCT($C$64:$C$65,$D$64:$D$65,$E$64:$E$65)/1000</f>
        <v>31.844399999999997</v>
      </c>
      <c r="H69" s="11"/>
      <c r="I69" s="286" t="s">
        <v>111</v>
      </c>
      <c r="J69" s="287"/>
      <c r="K69" s="287"/>
      <c r="L69" s="287"/>
      <c r="M69" s="287"/>
      <c r="N69" s="87">
        <f>SUMPRODUCT($J$64:$J$65,$K$64:$K$65,$L$64:$L$65)/1000</f>
        <v>31.844399999999997</v>
      </c>
      <c r="O69" s="11"/>
      <c r="P69" s="288" t="s">
        <v>111</v>
      </c>
      <c r="Q69" s="289"/>
      <c r="R69" s="289"/>
      <c r="S69" s="289"/>
      <c r="T69" s="289"/>
      <c r="U69" s="88">
        <f>SUMPRODUCT($Q$64:$Q$65,$R$64:$R$65,$S$64:$S$65)/1000</f>
        <v>16.850399999999997</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265" t="s">
        <v>69</v>
      </c>
      <c r="C71" s="266"/>
      <c r="D71" s="266"/>
      <c r="E71" s="266"/>
      <c r="F71" s="266"/>
      <c r="G71" s="59">
        <f>+G48+G54+G60+G66</f>
        <v>93264383.400000006</v>
      </c>
      <c r="H71" s="11"/>
      <c r="I71" s="267" t="s">
        <v>70</v>
      </c>
      <c r="J71" s="268"/>
      <c r="K71" s="268"/>
      <c r="L71" s="268"/>
      <c r="M71" s="268"/>
      <c r="N71" s="60">
        <f>+N66+N60+N54+N48</f>
        <v>90136655.400000006</v>
      </c>
      <c r="O71" s="11"/>
      <c r="P71" s="269" t="s">
        <v>71</v>
      </c>
      <c r="Q71" s="270"/>
      <c r="R71" s="270"/>
      <c r="S71" s="270"/>
      <c r="T71" s="270"/>
      <c r="U71" s="58">
        <f>+U66+U60+U54+U48</f>
        <v>46985538.399999999</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3">
    <mergeCell ref="B69:F69"/>
    <mergeCell ref="I69:M69"/>
    <mergeCell ref="P69:T69"/>
    <mergeCell ref="B71:F71"/>
    <mergeCell ref="I71:M71"/>
    <mergeCell ref="P71:T71"/>
    <mergeCell ref="B66:F66"/>
    <mergeCell ref="I66:M66"/>
    <mergeCell ref="P66:T66"/>
    <mergeCell ref="B68:F68"/>
    <mergeCell ref="I68:M68"/>
    <mergeCell ref="P68:T68"/>
    <mergeCell ref="B60:F60"/>
    <mergeCell ref="I60:M60"/>
    <mergeCell ref="P60:T60"/>
    <mergeCell ref="B62:B63"/>
    <mergeCell ref="C62:G62"/>
    <mergeCell ref="I62:I63"/>
    <mergeCell ref="J62:N62"/>
    <mergeCell ref="P62:P63"/>
    <mergeCell ref="Q62:U62"/>
    <mergeCell ref="B54:F54"/>
    <mergeCell ref="I54:M54"/>
    <mergeCell ref="P54:T54"/>
    <mergeCell ref="B56:B57"/>
    <mergeCell ref="C56:G56"/>
    <mergeCell ref="I56:I57"/>
    <mergeCell ref="J56:N56"/>
    <mergeCell ref="P56:P57"/>
    <mergeCell ref="Q56:U56"/>
    <mergeCell ref="I27:I28"/>
    <mergeCell ref="J27:N27"/>
    <mergeCell ref="P27:P28"/>
    <mergeCell ref="B42:U42"/>
    <mergeCell ref="B44:B45"/>
    <mergeCell ref="C44:G44"/>
    <mergeCell ref="I44:I45"/>
    <mergeCell ref="J44:N44"/>
    <mergeCell ref="P44:P45"/>
    <mergeCell ref="Q44:U44"/>
    <mergeCell ref="B37:F37"/>
    <mergeCell ref="I37:M37"/>
    <mergeCell ref="P37:T37"/>
    <mergeCell ref="B39:F39"/>
    <mergeCell ref="I39:M39"/>
    <mergeCell ref="P39:T39"/>
    <mergeCell ref="B19:U19"/>
    <mergeCell ref="B21:B22"/>
    <mergeCell ref="C21:G21"/>
    <mergeCell ref="I21:I22"/>
    <mergeCell ref="J21:N21"/>
    <mergeCell ref="P21:P22"/>
    <mergeCell ref="Q21:U21"/>
    <mergeCell ref="B11:C11"/>
    <mergeCell ref="D11:F11"/>
    <mergeCell ref="B13:C13"/>
    <mergeCell ref="D13:F13"/>
    <mergeCell ref="B15:C15"/>
    <mergeCell ref="D15:F15"/>
    <mergeCell ref="P6:Q8"/>
    <mergeCell ref="B7:C7"/>
    <mergeCell ref="D7:F7"/>
    <mergeCell ref="L7:M7"/>
    <mergeCell ref="B9:C9"/>
    <mergeCell ref="D9:F9"/>
    <mergeCell ref="L9:M9"/>
    <mergeCell ref="P9:Q9"/>
    <mergeCell ref="S15:T15"/>
    <mergeCell ref="B5:C5"/>
    <mergeCell ref="D5:F5"/>
    <mergeCell ref="I5:J5"/>
    <mergeCell ref="L5:M5"/>
    <mergeCell ref="P5:Q5"/>
    <mergeCell ref="B1:U1"/>
    <mergeCell ref="B3:C3"/>
    <mergeCell ref="D3:F3"/>
    <mergeCell ref="I3:J3"/>
    <mergeCell ref="L3:N3"/>
    <mergeCell ref="P3:Q3"/>
    <mergeCell ref="B25:F25"/>
    <mergeCell ref="I25:M25"/>
    <mergeCell ref="P25:T25"/>
    <mergeCell ref="B48:F48"/>
    <mergeCell ref="I48:M48"/>
    <mergeCell ref="P48:T48"/>
    <mergeCell ref="B50:B51"/>
    <mergeCell ref="C50:G50"/>
    <mergeCell ref="I50:I51"/>
    <mergeCell ref="J50:N50"/>
    <mergeCell ref="P50:P51"/>
    <mergeCell ref="Q50:U50"/>
    <mergeCell ref="Q27:U27"/>
    <mergeCell ref="B31:F31"/>
    <mergeCell ref="I31:M31"/>
    <mergeCell ref="P31:T31"/>
    <mergeCell ref="B33:B34"/>
    <mergeCell ref="C33:G33"/>
    <mergeCell ref="I33:I34"/>
    <mergeCell ref="J33:N33"/>
    <mergeCell ref="P33:P34"/>
    <mergeCell ref="Q33:U33"/>
    <mergeCell ref="B27:B28"/>
    <mergeCell ref="C27:G27"/>
  </mergeCells>
  <dataValidations count="3">
    <dataValidation type="decimal" operator="greaterThan" allowBlank="1" showInputMessage="1" showErrorMessage="1" sqref="I5:J5" xr:uid="{D231FC80-0BED-4F97-BD86-DBD34CFB7892}">
      <formula1>0</formula1>
    </dataValidation>
    <dataValidation type="whole" allowBlank="1" showInputMessage="1" showErrorMessage="1" sqref="R7 N7" xr:uid="{92B6C012-0E62-458F-8A67-484CC2CB1622}">
      <formula1>1</formula1>
      <formula2>100</formula2>
    </dataValidation>
    <dataValidation type="decimal" allowBlank="1" showInputMessage="1" showErrorMessage="1" sqref="R5" xr:uid="{DD12E88E-FB57-4AB6-8D16-66E94D6AE86C}">
      <formula1>0</formula1>
      <formula2>100</formula2>
    </dataValidation>
  </dataValidation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D72C2EB-2AF8-485A-9247-EE399D71466B}">
          <x14:formula1>
            <xm:f>Hoja11!$K$1:$K$13</xm:f>
          </x14:formula1>
          <xm:sqref>D7:F7</xm:sqref>
        </x14:dataValidation>
        <x14:dataValidation type="list" xr:uid="{E30F0B84-68EA-449E-A0AA-35BA7CE3F4B3}">
          <x14:formula1>
            <xm:f>Hoja11!$R$2:$R$5</xm:f>
          </x14:formula1>
          <xm:sqref>N5</xm:sqref>
        </x14:dataValidation>
        <x14:dataValidation type="list" allowBlank="1" showInputMessage="1" showErrorMessage="1" xr:uid="{3EFB1B8E-54ED-4CF7-8D59-F3AF87713141}">
          <x14:formula1>
            <xm:f>Hoja11!$P$2:$P$5</xm:f>
          </x14:formula1>
          <xm:sqref>D9:F9</xm:sqref>
        </x14:dataValidation>
        <x14:dataValidation type="list" allowBlank="1" showInputMessage="1" showErrorMessage="1" xr:uid="{8A222C95-5B4C-48FF-B41E-BDA24DD2FE56}">
          <x14:formula1>
            <xm:f>Hoja11!$F$2:$F$4</xm:f>
          </x14:formula1>
          <xm:sqref>C12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8ABAA-C11E-4397-BBCC-44DE253CE340}">
  <sheetPr codeName="Hoja9">
    <tabColor rgb="FF00B0F0"/>
  </sheetPr>
  <dimension ref="A1:AP642"/>
  <sheetViews>
    <sheetView zoomScale="80" zoomScaleNormal="80" workbookViewId="0">
      <selection activeCell="N10" sqref="N10"/>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277" t="s">
        <v>165</v>
      </c>
      <c r="C1" s="277"/>
      <c r="D1" s="277"/>
      <c r="E1" s="277"/>
      <c r="F1" s="277"/>
      <c r="G1" s="277"/>
      <c r="H1" s="277"/>
      <c r="I1" s="277"/>
      <c r="J1" s="277"/>
      <c r="K1" s="277"/>
      <c r="L1" s="277"/>
      <c r="M1" s="277"/>
      <c r="N1" s="277"/>
      <c r="O1" s="277"/>
      <c r="P1" s="277"/>
      <c r="Q1" s="277"/>
      <c r="R1" s="277"/>
      <c r="S1" s="277"/>
      <c r="T1" s="277"/>
      <c r="U1" s="277"/>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24</v>
      </c>
      <c r="AB2" s="73">
        <v>24</v>
      </c>
      <c r="AC2" s="73">
        <v>24</v>
      </c>
      <c r="AD2" s="73">
        <v>23</v>
      </c>
      <c r="AE2" s="73">
        <v>25</v>
      </c>
      <c r="AF2" s="73"/>
      <c r="AG2" s="73"/>
      <c r="AH2" s="73">
        <v>23</v>
      </c>
      <c r="AI2" s="73" t="s">
        <v>47</v>
      </c>
      <c r="AJ2" s="73">
        <v>23</v>
      </c>
      <c r="AK2" s="73">
        <v>23</v>
      </c>
      <c r="AL2" s="73">
        <v>23</v>
      </c>
      <c r="AM2" s="73">
        <v>23</v>
      </c>
      <c r="AN2" s="73">
        <v>25</v>
      </c>
      <c r="AO2" s="68"/>
      <c r="AP2" s="68"/>
    </row>
    <row r="3" spans="1:42" ht="16.5" customHeight="1" x14ac:dyDescent="0.25">
      <c r="B3" s="191" t="s">
        <v>95</v>
      </c>
      <c r="C3" s="191"/>
      <c r="D3" s="302" t="s">
        <v>167</v>
      </c>
      <c r="E3" s="303"/>
      <c r="F3" s="304"/>
      <c r="G3" s="6"/>
      <c r="H3" s="6"/>
      <c r="I3" s="191" t="s">
        <v>121</v>
      </c>
      <c r="J3" s="191"/>
      <c r="K3" s="31"/>
      <c r="L3" s="282" t="s">
        <v>113</v>
      </c>
      <c r="M3" s="282"/>
      <c r="N3" s="282"/>
      <c r="O3" s="6"/>
      <c r="P3" s="189"/>
      <c r="Q3" s="189"/>
      <c r="R3" s="6"/>
      <c r="S3" s="6"/>
      <c r="T3" s="6"/>
      <c r="U3" s="6"/>
      <c r="Y3" s="73">
        <v>29</v>
      </c>
      <c r="Z3" s="73" t="s">
        <v>49</v>
      </c>
      <c r="AA3" s="73">
        <v>30</v>
      </c>
      <c r="AB3" s="73">
        <v>30</v>
      </c>
      <c r="AC3" s="73">
        <v>30</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91" t="s">
        <v>96</v>
      </c>
      <c r="C5" s="191"/>
      <c r="D5" s="302" t="s">
        <v>168</v>
      </c>
      <c r="E5" s="303"/>
      <c r="F5" s="304"/>
      <c r="G5" s="6"/>
      <c r="H5" s="6"/>
      <c r="I5" s="326">
        <f>(29*35)*15</f>
        <v>15225</v>
      </c>
      <c r="J5" s="327"/>
      <c r="K5" s="31"/>
      <c r="L5" s="194" t="s">
        <v>106</v>
      </c>
      <c r="M5" s="195"/>
      <c r="N5" s="79">
        <v>0.115</v>
      </c>
      <c r="O5" s="6"/>
      <c r="P5" s="307"/>
      <c r="Q5" s="307"/>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03"/>
      <c r="Q6" s="203"/>
      <c r="R6" s="67"/>
      <c r="S6" s="6"/>
      <c r="T6" s="6"/>
      <c r="U6" s="6"/>
      <c r="Y6" s="73">
        <v>46</v>
      </c>
      <c r="Z6" s="73" t="s">
        <v>64</v>
      </c>
      <c r="AA6" s="73">
        <v>47</v>
      </c>
      <c r="AB6" s="73">
        <v>47</v>
      </c>
      <c r="AC6" s="73">
        <v>47</v>
      </c>
      <c r="AD6" s="73">
        <v>46</v>
      </c>
      <c r="AE6" s="73">
        <v>48</v>
      </c>
      <c r="AH6" s="73">
        <v>46</v>
      </c>
      <c r="AI6" s="73" t="s">
        <v>64</v>
      </c>
      <c r="AJ6" s="73">
        <v>46</v>
      </c>
      <c r="AK6" s="73">
        <v>46</v>
      </c>
      <c r="AL6" s="73">
        <v>46</v>
      </c>
      <c r="AM6" s="73">
        <v>46</v>
      </c>
      <c r="AN6" s="73">
        <v>48</v>
      </c>
    </row>
    <row r="7" spans="1:42" ht="16.5" customHeight="1" x14ac:dyDescent="0.25">
      <c r="B7" s="191" t="s">
        <v>97</v>
      </c>
      <c r="C7" s="191"/>
      <c r="D7" s="308" t="s">
        <v>88</v>
      </c>
      <c r="E7" s="188"/>
      <c r="F7" s="309"/>
      <c r="G7" s="6"/>
      <c r="H7" s="6"/>
      <c r="I7" s="77"/>
      <c r="J7" s="77"/>
      <c r="K7" s="31"/>
      <c r="L7" s="194" t="s">
        <v>104</v>
      </c>
      <c r="M7" s="195"/>
      <c r="N7" s="81">
        <v>30</v>
      </c>
      <c r="O7" s="6"/>
      <c r="P7" s="203"/>
      <c r="Q7" s="203"/>
      <c r="R7" s="67"/>
      <c r="S7" s="6"/>
      <c r="T7" s="6"/>
      <c r="U7" s="6"/>
      <c r="Y7" s="73">
        <v>52</v>
      </c>
      <c r="Z7" s="73" t="s">
        <v>65</v>
      </c>
      <c r="AA7" s="73">
        <v>53</v>
      </c>
      <c r="AB7" s="73">
        <v>53</v>
      </c>
      <c r="AC7" s="73">
        <v>53</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03"/>
      <c r="Q8" s="203"/>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91" t="s">
        <v>98</v>
      </c>
      <c r="C9" s="191"/>
      <c r="D9" s="308" t="s">
        <v>100</v>
      </c>
      <c r="E9" s="188"/>
      <c r="F9" s="309"/>
      <c r="G9" s="6"/>
      <c r="H9" s="6"/>
      <c r="I9" s="31"/>
      <c r="J9" s="31"/>
      <c r="K9" s="31"/>
      <c r="L9" s="194" t="s">
        <v>105</v>
      </c>
      <c r="M9" s="195"/>
      <c r="N9" s="82">
        <v>900</v>
      </c>
      <c r="O9" s="6"/>
      <c r="P9" s="307"/>
      <c r="Q9" s="307"/>
      <c r="R9" s="8"/>
      <c r="S9" s="6"/>
      <c r="T9" s="6"/>
      <c r="U9" s="6"/>
      <c r="Y9" s="73">
        <v>64</v>
      </c>
      <c r="Z9" s="73" t="s">
        <v>67</v>
      </c>
      <c r="AA9" s="73">
        <v>65</v>
      </c>
      <c r="AB9" s="73">
        <v>65</v>
      </c>
      <c r="AC9" s="73">
        <v>65</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78"/>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281" t="s">
        <v>103</v>
      </c>
      <c r="C11" s="281"/>
      <c r="D11" s="308" t="s">
        <v>31</v>
      </c>
      <c r="E11" s="188"/>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280" t="s">
        <v>107</v>
      </c>
      <c r="C13" s="280"/>
      <c r="D13" s="308" t="s">
        <v>163</v>
      </c>
      <c r="E13" s="188"/>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279" t="s">
        <v>108</v>
      </c>
      <c r="C15" s="279"/>
      <c r="D15" s="308" t="s">
        <v>68</v>
      </c>
      <c r="E15" s="188"/>
      <c r="F15" s="309"/>
      <c r="G15" s="6"/>
      <c r="H15" s="6"/>
      <c r="I15" s="31"/>
      <c r="J15" s="31"/>
      <c r="K15" s="31"/>
      <c r="L15" s="31"/>
      <c r="M15" s="31"/>
      <c r="N15" s="31"/>
      <c r="O15" s="6"/>
      <c r="P15" s="6"/>
      <c r="Q15" s="67"/>
      <c r="R15" s="67"/>
      <c r="S15" s="31"/>
      <c r="T15" s="3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176" t="s">
        <v>8</v>
      </c>
      <c r="C19" s="176"/>
      <c r="D19" s="176"/>
      <c r="E19" s="176"/>
      <c r="F19" s="176"/>
      <c r="G19" s="176"/>
      <c r="H19" s="176"/>
      <c r="I19" s="176"/>
      <c r="J19" s="176"/>
      <c r="K19" s="176"/>
      <c r="L19" s="176"/>
      <c r="M19" s="176"/>
      <c r="N19" s="176"/>
      <c r="O19" s="176"/>
      <c r="P19" s="176"/>
      <c r="Q19" s="176"/>
      <c r="R19" s="176"/>
      <c r="S19" s="176"/>
      <c r="T19" s="176"/>
      <c r="U19" s="176"/>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177" t="s">
        <v>13</v>
      </c>
      <c r="C21" s="179" t="str">
        <f>CONCATENATE("ALTERNATIVA 1: ",$D$11)</f>
        <v>ALTERNATIVA 1: Sodio</v>
      </c>
      <c r="D21" s="179"/>
      <c r="E21" s="179"/>
      <c r="F21" s="179"/>
      <c r="G21" s="179"/>
      <c r="H21" s="15"/>
      <c r="I21" s="190" t="s">
        <v>13</v>
      </c>
      <c r="J21" s="180" t="str">
        <f>CONCATENATE("ALTERNATIVA 1: ",$D$13)</f>
        <v>ALTERNATIVA 1: CMH</v>
      </c>
      <c r="K21" s="180"/>
      <c r="L21" s="180"/>
      <c r="M21" s="180"/>
      <c r="N21" s="180"/>
      <c r="O21" s="15"/>
      <c r="P21" s="181" t="s">
        <v>13</v>
      </c>
      <c r="Q21" s="183" t="str">
        <f>CONCATENATE("ALTERNATIVA 3: ",$D$15)</f>
        <v>ALTERNATIVA 3: LED</v>
      </c>
      <c r="R21" s="184"/>
      <c r="S21" s="184"/>
      <c r="T21" s="184"/>
      <c r="U21" s="181"/>
    </row>
    <row r="22" spans="2:42" ht="21" x14ac:dyDescent="0.25">
      <c r="B22" s="311"/>
      <c r="C22" s="16" t="s">
        <v>72</v>
      </c>
      <c r="D22" s="16" t="s">
        <v>14</v>
      </c>
      <c r="E22" s="16" t="s">
        <v>9</v>
      </c>
      <c r="F22" s="16" t="s">
        <v>10</v>
      </c>
      <c r="G22" s="17" t="s">
        <v>11</v>
      </c>
      <c r="H22" s="18"/>
      <c r="I22" s="190"/>
      <c r="J22" s="19" t="s">
        <v>72</v>
      </c>
      <c r="K22" s="19" t="s">
        <v>14</v>
      </c>
      <c r="L22" s="19" t="s">
        <v>9</v>
      </c>
      <c r="M22" s="19" t="s">
        <v>10</v>
      </c>
      <c r="N22" s="20" t="s">
        <v>11</v>
      </c>
      <c r="O22" s="21"/>
      <c r="P22" s="312"/>
      <c r="Q22" s="22" t="s">
        <v>72</v>
      </c>
      <c r="R22" s="22" t="s">
        <v>14</v>
      </c>
      <c r="S22" s="22" t="s">
        <v>9</v>
      </c>
      <c r="T22" s="22" t="s">
        <v>10</v>
      </c>
      <c r="U22" s="23" t="s">
        <v>11</v>
      </c>
    </row>
    <row r="23" spans="2:42" x14ac:dyDescent="0.25">
      <c r="B23" s="24" t="s">
        <v>129</v>
      </c>
      <c r="C23" s="25">
        <v>268.7</v>
      </c>
      <c r="D23" s="72">
        <v>7.5</v>
      </c>
      <c r="E23" s="25">
        <v>29</v>
      </c>
      <c r="F23" s="26">
        <v>1058967</v>
      </c>
      <c r="G23" s="26">
        <f>$F$23*$E$23</f>
        <v>30710043</v>
      </c>
      <c r="H23" s="18"/>
      <c r="I23" s="24" t="s">
        <v>133</v>
      </c>
      <c r="J23" s="25">
        <v>268.7</v>
      </c>
      <c r="K23" s="25">
        <v>7.5</v>
      </c>
      <c r="L23" s="25">
        <v>29</v>
      </c>
      <c r="M23" s="26">
        <v>1059544</v>
      </c>
      <c r="N23" s="26">
        <f>$M$23*$L$23</f>
        <v>30726776</v>
      </c>
      <c r="O23" s="21"/>
      <c r="P23" s="24" t="s">
        <v>140</v>
      </c>
      <c r="Q23" s="25">
        <v>185</v>
      </c>
      <c r="R23" s="25">
        <v>15</v>
      </c>
      <c r="S23" s="25">
        <v>29</v>
      </c>
      <c r="T23" s="26">
        <v>1996104</v>
      </c>
      <c r="U23" s="26">
        <f>$T$23*$S$23</f>
        <v>57887016</v>
      </c>
    </row>
    <row r="24" spans="2:42" x14ac:dyDescent="0.25">
      <c r="B24" s="24"/>
      <c r="C24" s="25"/>
      <c r="D24" s="25"/>
      <c r="E24" s="25"/>
      <c r="F24" s="26"/>
      <c r="G24" s="26"/>
      <c r="H24" s="18"/>
      <c r="I24" s="24"/>
      <c r="J24" s="25"/>
      <c r="K24" s="25"/>
      <c r="L24" s="25"/>
      <c r="M24" s="26"/>
      <c r="N24" s="26"/>
      <c r="O24" s="21"/>
      <c r="P24" s="24"/>
      <c r="Q24" s="25"/>
      <c r="R24" s="25"/>
      <c r="S24" s="25"/>
      <c r="T24" s="26"/>
      <c r="U24" s="26"/>
    </row>
    <row r="25" spans="2:42" ht="16.5" customHeight="1" x14ac:dyDescent="0.25">
      <c r="B25" s="284" t="s">
        <v>126</v>
      </c>
      <c r="C25" s="285"/>
      <c r="D25" s="285"/>
      <c r="E25" s="285"/>
      <c r="F25" s="285"/>
      <c r="G25" s="27">
        <f>SUM($G$23:$G$24)</f>
        <v>30710043</v>
      </c>
      <c r="H25" s="28"/>
      <c r="I25" s="286" t="s">
        <v>126</v>
      </c>
      <c r="J25" s="287"/>
      <c r="K25" s="287"/>
      <c r="L25" s="287"/>
      <c r="M25" s="287"/>
      <c r="N25" s="29">
        <f>SUM($N$23:$N$24)</f>
        <v>30726776</v>
      </c>
      <c r="O25" s="28"/>
      <c r="P25" s="288" t="s">
        <v>126</v>
      </c>
      <c r="Q25" s="289"/>
      <c r="R25" s="289"/>
      <c r="S25" s="289"/>
      <c r="T25" s="289"/>
      <c r="U25" s="30">
        <f>SUM($U$23:$U$24)</f>
        <v>57887016</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39" t="s">
        <v>15</v>
      </c>
      <c r="C27" s="241" t="str">
        <f>CONCATENATE("ALTERNATIVA 1: ",$D$11)</f>
        <v>ALTERNATIVA 1: Sodio</v>
      </c>
      <c r="D27" s="241"/>
      <c r="E27" s="241"/>
      <c r="F27" s="241"/>
      <c r="G27" s="241"/>
      <c r="H27" s="35"/>
      <c r="I27" s="248" t="s">
        <v>15</v>
      </c>
      <c r="J27" s="244" t="str">
        <f>CONCATENATE("ALTERNATIVA 1: ",$D$13)</f>
        <v>ALTERNATIVA 1: CMH</v>
      </c>
      <c r="K27" s="244"/>
      <c r="L27" s="244"/>
      <c r="M27" s="244"/>
      <c r="N27" s="245"/>
      <c r="O27" s="35"/>
      <c r="P27" s="246" t="s">
        <v>15</v>
      </c>
      <c r="Q27" s="236" t="str">
        <f>CONCATENATE("ALTERNATIVA 3: ",$D$15)</f>
        <v>ALTERNATIVA 3: LED</v>
      </c>
      <c r="R27" s="237"/>
      <c r="S27" s="237"/>
      <c r="T27" s="237"/>
      <c r="U27" s="238"/>
    </row>
    <row r="28" spans="2:42" ht="21" x14ac:dyDescent="0.25">
      <c r="B28" s="301"/>
      <c r="C28" s="36" t="s">
        <v>30</v>
      </c>
      <c r="D28" s="36" t="s">
        <v>14</v>
      </c>
      <c r="E28" s="36" t="s">
        <v>9</v>
      </c>
      <c r="F28" s="36" t="s">
        <v>10</v>
      </c>
      <c r="G28" s="37" t="s">
        <v>11</v>
      </c>
      <c r="H28" s="18"/>
      <c r="I28" s="248"/>
      <c r="J28" s="38" t="s">
        <v>30</v>
      </c>
      <c r="K28" s="39" t="s">
        <v>14</v>
      </c>
      <c r="L28" s="39" t="s">
        <v>9</v>
      </c>
      <c r="M28" s="39" t="s">
        <v>10</v>
      </c>
      <c r="N28" s="40" t="s">
        <v>11</v>
      </c>
      <c r="O28" s="21"/>
      <c r="P28" s="313"/>
      <c r="Q28" s="41" t="s">
        <v>30</v>
      </c>
      <c r="R28" s="41" t="s">
        <v>14</v>
      </c>
      <c r="S28" s="41" t="s">
        <v>9</v>
      </c>
      <c r="T28" s="41" t="s">
        <v>10</v>
      </c>
      <c r="U28" s="42" t="s">
        <v>11</v>
      </c>
    </row>
    <row r="29" spans="2:42" x14ac:dyDescent="0.25">
      <c r="B29" s="24" t="s">
        <v>149</v>
      </c>
      <c r="C29" s="25" t="s">
        <v>41</v>
      </c>
      <c r="D29" s="25">
        <v>30</v>
      </c>
      <c r="E29" s="25">
        <v>29</v>
      </c>
      <c r="F29" s="26">
        <v>2840391</v>
      </c>
      <c r="G29" s="26">
        <f>$F$29*$E$29</f>
        <v>82371339</v>
      </c>
      <c r="H29" s="18"/>
      <c r="I29" s="24" t="s">
        <v>149</v>
      </c>
      <c r="J29" s="25" t="s">
        <v>41</v>
      </c>
      <c r="K29" s="25">
        <v>30</v>
      </c>
      <c r="L29" s="25">
        <v>29</v>
      </c>
      <c r="M29" s="26">
        <v>2840391</v>
      </c>
      <c r="N29" s="26">
        <f>$M$29*$L$29</f>
        <v>82371339</v>
      </c>
      <c r="O29" s="21"/>
      <c r="P29" s="24" t="s">
        <v>149</v>
      </c>
      <c r="Q29" s="25" t="s">
        <v>41</v>
      </c>
      <c r="R29" s="25">
        <v>30</v>
      </c>
      <c r="S29" s="25">
        <v>29</v>
      </c>
      <c r="T29" s="26">
        <v>2840391</v>
      </c>
      <c r="U29" s="26">
        <f>$T$29*$S$29</f>
        <v>82371339</v>
      </c>
    </row>
    <row r="30" spans="2:42" x14ac:dyDescent="0.25">
      <c r="B30" s="24"/>
      <c r="C30" s="25"/>
      <c r="D30" s="25"/>
      <c r="E30" s="25"/>
      <c r="F30" s="26"/>
      <c r="G30" s="26"/>
      <c r="H30" s="18"/>
      <c r="I30" s="24"/>
      <c r="J30" s="25"/>
      <c r="K30" s="25"/>
      <c r="L30" s="25"/>
      <c r="M30" s="26"/>
      <c r="N30" s="26"/>
      <c r="O30" s="21"/>
      <c r="P30" s="24"/>
      <c r="Q30" s="25"/>
      <c r="R30" s="25"/>
      <c r="S30" s="25"/>
      <c r="T30" s="26"/>
      <c r="U30" s="26"/>
    </row>
    <row r="31" spans="2:42" x14ac:dyDescent="0.25">
      <c r="B31" s="293" t="s">
        <v>126</v>
      </c>
      <c r="C31" s="294"/>
      <c r="D31" s="294"/>
      <c r="E31" s="294"/>
      <c r="F31" s="294"/>
      <c r="G31" s="43">
        <f>SUM($G$29:$G$30)</f>
        <v>82371339</v>
      </c>
      <c r="H31" s="28"/>
      <c r="I31" s="295" t="s">
        <v>126</v>
      </c>
      <c r="J31" s="296"/>
      <c r="K31" s="296"/>
      <c r="L31" s="296"/>
      <c r="M31" s="296"/>
      <c r="N31" s="44">
        <f>SUM($N$29:$N$30)</f>
        <v>82371339</v>
      </c>
      <c r="O31" s="28"/>
      <c r="P31" s="297" t="s">
        <v>126</v>
      </c>
      <c r="Q31" s="298"/>
      <c r="R31" s="298"/>
      <c r="S31" s="298"/>
      <c r="T31" s="298"/>
      <c r="U31" s="45">
        <f>SUM($U$29:$U$30)</f>
        <v>82371339</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24" t="s">
        <v>45</v>
      </c>
      <c r="C33" s="226" t="str">
        <f>CONCATENATE("ALTERNATIVA 1: ",$D$11)</f>
        <v>ALTERNATIVA 1: Sodio</v>
      </c>
      <c r="D33" s="226"/>
      <c r="E33" s="226"/>
      <c r="F33" s="226"/>
      <c r="G33" s="226"/>
      <c r="H33" s="35"/>
      <c r="I33" s="222" t="s">
        <v>45</v>
      </c>
      <c r="J33" s="227" t="str">
        <f>CONCATENATE("ALTERNATIVA 1: ",$D$13)</f>
        <v>ALTERNATIVA 1: CMH</v>
      </c>
      <c r="K33" s="227"/>
      <c r="L33" s="227"/>
      <c r="M33" s="227"/>
      <c r="N33" s="227"/>
      <c r="O33" s="35"/>
      <c r="P33" s="228" t="s">
        <v>45</v>
      </c>
      <c r="Q33" s="219" t="str">
        <f>CONCATENATE("ALTERNATIVA 3: ",$D$15)</f>
        <v>ALTERNATIVA 3: LED</v>
      </c>
      <c r="R33" s="220"/>
      <c r="S33" s="220"/>
      <c r="T33" s="220"/>
      <c r="U33" s="221"/>
    </row>
    <row r="34" spans="2:42" ht="21" x14ac:dyDescent="0.25">
      <c r="B34" s="299"/>
      <c r="C34" s="46" t="s">
        <v>46</v>
      </c>
      <c r="D34" s="46" t="s">
        <v>14</v>
      </c>
      <c r="E34" s="46" t="s">
        <v>9</v>
      </c>
      <c r="F34" s="46" t="s">
        <v>10</v>
      </c>
      <c r="G34" s="47" t="s">
        <v>11</v>
      </c>
      <c r="H34" s="18"/>
      <c r="I34" s="223"/>
      <c r="J34" s="48" t="s">
        <v>46</v>
      </c>
      <c r="K34" s="49" t="s">
        <v>14</v>
      </c>
      <c r="L34" s="49" t="s">
        <v>9</v>
      </c>
      <c r="M34" s="49" t="s">
        <v>10</v>
      </c>
      <c r="N34" s="50" t="s">
        <v>11</v>
      </c>
      <c r="O34" s="21"/>
      <c r="P34" s="300"/>
      <c r="Q34" s="51" t="s">
        <v>46</v>
      </c>
      <c r="R34" s="51" t="s">
        <v>14</v>
      </c>
      <c r="S34" s="51" t="s">
        <v>9</v>
      </c>
      <c r="T34" s="51" t="s">
        <v>10</v>
      </c>
      <c r="U34" s="52" t="s">
        <v>11</v>
      </c>
    </row>
    <row r="35" spans="2:42" x14ac:dyDescent="0.25">
      <c r="B35" s="24" t="s">
        <v>153</v>
      </c>
      <c r="C35" s="83" t="s">
        <v>153</v>
      </c>
      <c r="D35" s="25">
        <v>30</v>
      </c>
      <c r="E35" s="25">
        <v>1</v>
      </c>
      <c r="F35" s="26">
        <v>2742905</v>
      </c>
      <c r="G35" s="26">
        <f>$F$35*$E$35</f>
        <v>2742905</v>
      </c>
      <c r="H35" s="18"/>
      <c r="I35" s="24" t="s">
        <v>152</v>
      </c>
      <c r="J35" s="83" t="s">
        <v>152</v>
      </c>
      <c r="K35" s="25">
        <v>30</v>
      </c>
      <c r="L35" s="25">
        <v>1</v>
      </c>
      <c r="M35" s="26">
        <v>2371332</v>
      </c>
      <c r="N35" s="26">
        <f>$M$35*$L$35</f>
        <v>2371332</v>
      </c>
      <c r="O35" s="21"/>
      <c r="P35" s="24" t="s">
        <v>152</v>
      </c>
      <c r="Q35" s="83" t="s">
        <v>152</v>
      </c>
      <c r="R35" s="25">
        <v>30</v>
      </c>
      <c r="S35" s="25">
        <v>1</v>
      </c>
      <c r="T35" s="26">
        <v>2371332</v>
      </c>
      <c r="U35" s="26">
        <f>$T$35*$S$35</f>
        <v>2371332</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317" t="s">
        <v>126</v>
      </c>
      <c r="C37" s="318"/>
      <c r="D37" s="318"/>
      <c r="E37" s="318"/>
      <c r="F37" s="318"/>
      <c r="G37" s="53">
        <f>SUM($G$35:$G$36)</f>
        <v>2742905</v>
      </c>
      <c r="H37" s="28"/>
      <c r="I37" s="319" t="s">
        <v>126</v>
      </c>
      <c r="J37" s="320"/>
      <c r="K37" s="320"/>
      <c r="L37" s="320"/>
      <c r="M37" s="320"/>
      <c r="N37" s="54">
        <f>SUM($N$35:$N$36)</f>
        <v>2371332</v>
      </c>
      <c r="O37" s="28"/>
      <c r="P37" s="321" t="s">
        <v>126</v>
      </c>
      <c r="Q37" s="322"/>
      <c r="R37" s="322"/>
      <c r="S37" s="322"/>
      <c r="T37" s="322"/>
      <c r="U37" s="55">
        <f>SUM($U$35:$U$36)</f>
        <v>2371332</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265" t="s">
        <v>59</v>
      </c>
      <c r="C39" s="266"/>
      <c r="D39" s="266"/>
      <c r="E39" s="266"/>
      <c r="F39" s="266"/>
      <c r="G39" s="59">
        <f>+G37+G31+G25</f>
        <v>115824287</v>
      </c>
      <c r="H39" s="11"/>
      <c r="I39" s="267" t="s">
        <v>60</v>
      </c>
      <c r="J39" s="268"/>
      <c r="K39" s="268"/>
      <c r="L39" s="268"/>
      <c r="M39" s="268"/>
      <c r="N39" s="60">
        <f>+N37+N31+N25</f>
        <v>115469447</v>
      </c>
      <c r="O39" s="11"/>
      <c r="P39" s="269" t="s">
        <v>61</v>
      </c>
      <c r="Q39" s="270"/>
      <c r="R39" s="270"/>
      <c r="S39" s="270"/>
      <c r="T39" s="270"/>
      <c r="U39" s="58">
        <f>+U37+U31+U25</f>
        <v>142629687</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176" t="s">
        <v>29</v>
      </c>
      <c r="C42" s="176"/>
      <c r="D42" s="176"/>
      <c r="E42" s="176"/>
      <c r="F42" s="176"/>
      <c r="G42" s="176"/>
      <c r="H42" s="176"/>
      <c r="I42" s="176"/>
      <c r="J42" s="176"/>
      <c r="K42" s="176"/>
      <c r="L42" s="176"/>
      <c r="M42" s="176"/>
      <c r="N42" s="176"/>
      <c r="O42" s="176"/>
      <c r="P42" s="176"/>
      <c r="Q42" s="176"/>
      <c r="R42" s="176"/>
      <c r="S42" s="176"/>
      <c r="T42" s="176"/>
      <c r="U42" s="176"/>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59" t="s">
        <v>56</v>
      </c>
      <c r="C44" s="179" t="str">
        <f>CONCATENATE("ALTERNATIVA 1: ",$D$11)</f>
        <v>ALTERNATIVA 1: Sodio</v>
      </c>
      <c r="D44" s="179"/>
      <c r="E44" s="179"/>
      <c r="F44" s="179"/>
      <c r="G44" s="179"/>
      <c r="H44" s="15"/>
      <c r="I44" s="261" t="s">
        <v>56</v>
      </c>
      <c r="J44" s="180" t="str">
        <f>CONCATENATE("ALTERNATIVA 1: ",$D$13)</f>
        <v>ALTERNATIVA 1: CMH</v>
      </c>
      <c r="K44" s="180"/>
      <c r="L44" s="180"/>
      <c r="M44" s="180"/>
      <c r="N44" s="180"/>
      <c r="O44" s="15"/>
      <c r="P44" s="263" t="s">
        <v>56</v>
      </c>
      <c r="Q44" s="183" t="str">
        <f>CONCATENATE("ALTERNATIVA 3: ",$D$15)</f>
        <v>ALTERNATIVA 3: LED</v>
      </c>
      <c r="R44" s="184"/>
      <c r="S44" s="184"/>
      <c r="T44" s="184"/>
      <c r="U44" s="181"/>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314"/>
      <c r="C45" s="16" t="s">
        <v>12</v>
      </c>
      <c r="D45" s="16" t="s">
        <v>14</v>
      </c>
      <c r="E45" s="16" t="s">
        <v>76</v>
      </c>
      <c r="F45" s="16" t="s">
        <v>77</v>
      </c>
      <c r="G45" s="17" t="s">
        <v>11</v>
      </c>
      <c r="H45" s="18"/>
      <c r="I45" s="315"/>
      <c r="J45" s="56" t="s">
        <v>12</v>
      </c>
      <c r="K45" s="19" t="s">
        <v>14</v>
      </c>
      <c r="L45" s="19" t="s">
        <v>76</v>
      </c>
      <c r="M45" s="19" t="s">
        <v>77</v>
      </c>
      <c r="N45" s="20" t="s">
        <v>11</v>
      </c>
      <c r="O45" s="21"/>
      <c r="P45" s="316"/>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129</v>
      </c>
      <c r="C46" s="25">
        <v>268.7</v>
      </c>
      <c r="D46" s="72">
        <v>7.5</v>
      </c>
      <c r="E46" s="70">
        <f>IF($N$7&gt;$D$46,(($N$7/$D$46)-1)*$E$23,0)</f>
        <v>87</v>
      </c>
      <c r="F46" s="26">
        <v>1058967</v>
      </c>
      <c r="G46" s="26">
        <f>$F$46*$E$46</f>
        <v>92130129</v>
      </c>
      <c r="H46" s="18"/>
      <c r="I46" s="24" t="s">
        <v>133</v>
      </c>
      <c r="J46" s="25">
        <v>268.7</v>
      </c>
      <c r="K46" s="25">
        <v>7.5</v>
      </c>
      <c r="L46" s="70">
        <f>IF($N$7&gt;$K$46,(($N$7/$K$46)-1)*$L$23,0)</f>
        <v>87</v>
      </c>
      <c r="M46" s="26">
        <v>1059544</v>
      </c>
      <c r="N46" s="26">
        <f>$M$46*$L$46</f>
        <v>92180328</v>
      </c>
      <c r="O46" s="21"/>
      <c r="P46" s="24" t="s">
        <v>140</v>
      </c>
      <c r="Q46" s="25">
        <v>185</v>
      </c>
      <c r="R46" s="25">
        <v>15</v>
      </c>
      <c r="S46" s="70">
        <f>IF($N$7&gt;$R$46,(($N$7/$R$46)-1)*$S$23,0)</f>
        <v>29</v>
      </c>
      <c r="T46" s="26">
        <v>1996104</v>
      </c>
      <c r="U46" s="26">
        <f>$T$46*$S$46</f>
        <v>57887016</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c r="C47" s="25"/>
      <c r="D47" s="25"/>
      <c r="E47" s="70"/>
      <c r="F47" s="26"/>
      <c r="G47" s="26"/>
      <c r="H47" s="18"/>
      <c r="I47" s="24"/>
      <c r="J47" s="25"/>
      <c r="K47" s="25"/>
      <c r="L47" s="70"/>
      <c r="M47" s="26"/>
      <c r="N47" s="26"/>
      <c r="O47" s="21"/>
      <c r="P47" s="24"/>
      <c r="Q47" s="25"/>
      <c r="R47" s="25"/>
      <c r="S47" s="70"/>
      <c r="T47" s="26"/>
      <c r="U47" s="26"/>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4" t="s">
        <v>126</v>
      </c>
      <c r="C48" s="285"/>
      <c r="D48" s="285"/>
      <c r="E48" s="285"/>
      <c r="F48" s="285"/>
      <c r="G48" s="27">
        <f>SUM($G$46:$G$47)</f>
        <v>92130129</v>
      </c>
      <c r="H48" s="28"/>
      <c r="I48" s="286" t="s">
        <v>126</v>
      </c>
      <c r="J48" s="287"/>
      <c r="K48" s="287"/>
      <c r="L48" s="287"/>
      <c r="M48" s="287"/>
      <c r="N48" s="29">
        <f>SUM($N$46:$N$47)</f>
        <v>92180328</v>
      </c>
      <c r="O48" s="28"/>
      <c r="P48" s="288" t="s">
        <v>126</v>
      </c>
      <c r="Q48" s="289"/>
      <c r="R48" s="289"/>
      <c r="S48" s="289"/>
      <c r="T48" s="289"/>
      <c r="U48" s="30">
        <f>SUM($U$46:$U$47)</f>
        <v>57887016</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71" t="s">
        <v>57</v>
      </c>
      <c r="C50" s="241" t="str">
        <f>CONCATENATE("ALTERNATIVA 1: ",$D$11)</f>
        <v>ALTERNATIVA 1: Sodio</v>
      </c>
      <c r="D50" s="241"/>
      <c r="E50" s="241"/>
      <c r="F50" s="241"/>
      <c r="G50" s="241"/>
      <c r="H50" s="35"/>
      <c r="I50" s="273" t="s">
        <v>57</v>
      </c>
      <c r="J50" s="244" t="str">
        <f>CONCATENATE("ALTERNATIVA 1: ",$D$13)</f>
        <v>ALTERNATIVA 1: CMH</v>
      </c>
      <c r="K50" s="244"/>
      <c r="L50" s="244"/>
      <c r="M50" s="244"/>
      <c r="N50" s="245"/>
      <c r="O50" s="35"/>
      <c r="P50" s="275" t="s">
        <v>57</v>
      </c>
      <c r="Q50" s="236" t="str">
        <f>CONCATENATE("ALTERNATIVA 3: ",$D$15)</f>
        <v>ALTERNATIVA 3: LED</v>
      </c>
      <c r="R50" s="237"/>
      <c r="S50" s="237"/>
      <c r="T50" s="237"/>
      <c r="U50" s="238"/>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290"/>
      <c r="C51" s="36" t="s">
        <v>30</v>
      </c>
      <c r="D51" s="36" t="s">
        <v>14</v>
      </c>
      <c r="E51" s="36" t="s">
        <v>76</v>
      </c>
      <c r="F51" s="36" t="s">
        <v>77</v>
      </c>
      <c r="G51" s="37" t="s">
        <v>11</v>
      </c>
      <c r="H51" s="18"/>
      <c r="I51" s="291"/>
      <c r="J51" s="38" t="s">
        <v>30</v>
      </c>
      <c r="K51" s="39" t="s">
        <v>14</v>
      </c>
      <c r="L51" s="39" t="s">
        <v>76</v>
      </c>
      <c r="M51" s="39" t="s">
        <v>77</v>
      </c>
      <c r="N51" s="40" t="s">
        <v>11</v>
      </c>
      <c r="O51" s="21"/>
      <c r="P51" s="292"/>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149</v>
      </c>
      <c r="C52" s="25" t="s">
        <v>41</v>
      </c>
      <c r="D52" s="25">
        <v>30</v>
      </c>
      <c r="E52" s="72">
        <f>IF($N$7&gt;$D$52,(($N$7/$D$52)-1)*$E$29,0)</f>
        <v>0</v>
      </c>
      <c r="F52" s="26">
        <v>2840391</v>
      </c>
      <c r="G52" s="26">
        <f>$F$52*$E$52</f>
        <v>0</v>
      </c>
      <c r="H52" s="18"/>
      <c r="I52" s="24" t="s">
        <v>149</v>
      </c>
      <c r="J52" s="25" t="s">
        <v>41</v>
      </c>
      <c r="K52" s="25">
        <v>30</v>
      </c>
      <c r="L52" s="72">
        <f>IF($N$7&gt;$K$52,(($N$7/$K$52)-1)*$L$29,0)</f>
        <v>0</v>
      </c>
      <c r="M52" s="26">
        <v>2840391</v>
      </c>
      <c r="N52" s="26">
        <f>$M$52*$L$52</f>
        <v>0</v>
      </c>
      <c r="O52" s="21"/>
      <c r="P52" s="24" t="s">
        <v>149</v>
      </c>
      <c r="Q52" s="25" t="s">
        <v>41</v>
      </c>
      <c r="R52" s="25">
        <v>30</v>
      </c>
      <c r="S52" s="72">
        <f>IF($N$7&gt;$R$52,(($N$7/$R$52)-1)*$S$29,0)</f>
        <v>0</v>
      </c>
      <c r="T52" s="26">
        <v>2840391</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c r="C53" s="25"/>
      <c r="D53" s="25"/>
      <c r="E53" s="72"/>
      <c r="F53" s="26"/>
      <c r="G53" s="26"/>
      <c r="H53" s="18"/>
      <c r="I53" s="24"/>
      <c r="J53" s="25"/>
      <c r="K53" s="25"/>
      <c r="L53" s="72"/>
      <c r="M53" s="26"/>
      <c r="N53" s="26"/>
      <c r="O53" s="21"/>
      <c r="P53" s="24"/>
      <c r="Q53" s="25"/>
      <c r="R53" s="25"/>
      <c r="S53" s="72"/>
      <c r="T53" s="26"/>
      <c r="U53" s="26"/>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3" t="s">
        <v>126</v>
      </c>
      <c r="C54" s="294"/>
      <c r="D54" s="294"/>
      <c r="E54" s="294"/>
      <c r="F54" s="294"/>
      <c r="G54" s="43">
        <f>SUM($G$52:$G$53)</f>
        <v>0</v>
      </c>
      <c r="H54" s="28"/>
      <c r="I54" s="295" t="s">
        <v>126</v>
      </c>
      <c r="J54" s="296"/>
      <c r="K54" s="296"/>
      <c r="L54" s="296"/>
      <c r="M54" s="296"/>
      <c r="N54" s="44">
        <f>SUM($N$52:$N$53)</f>
        <v>0</v>
      </c>
      <c r="O54" s="28"/>
      <c r="P54" s="297" t="s">
        <v>126</v>
      </c>
      <c r="Q54" s="298"/>
      <c r="R54" s="298"/>
      <c r="S54" s="298"/>
      <c r="T54" s="298"/>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51" t="s">
        <v>58</v>
      </c>
      <c r="C56" s="253" t="str">
        <f>CONCATENATE("ALTERNATIVA 1: ",$D$11)</f>
        <v>ALTERNATIVA 1: Sodio</v>
      </c>
      <c r="D56" s="226"/>
      <c r="E56" s="226"/>
      <c r="F56" s="226"/>
      <c r="G56" s="254"/>
      <c r="H56" s="35"/>
      <c r="I56" s="255" t="s">
        <v>58</v>
      </c>
      <c r="J56" s="227" t="str">
        <f>CONCATENATE("ALTERNATIVA 1: ",$D$13)</f>
        <v>ALTERNATIVA 1: CMH</v>
      </c>
      <c r="K56" s="227"/>
      <c r="L56" s="227"/>
      <c r="M56" s="227"/>
      <c r="N56" s="227"/>
      <c r="O56" s="35"/>
      <c r="P56" s="257" t="s">
        <v>58</v>
      </c>
      <c r="Q56" s="219" t="str">
        <f>CONCATENATE("ALTERNATIVA 3: ",$D$15)</f>
        <v>ALTERNATIVA 3: LED</v>
      </c>
      <c r="R56" s="220"/>
      <c r="S56" s="220"/>
      <c r="T56" s="220"/>
      <c r="U56" s="221"/>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23"/>
      <c r="C57" s="46" t="s">
        <v>46</v>
      </c>
      <c r="D57" s="46" t="s">
        <v>14</v>
      </c>
      <c r="E57" s="46" t="s">
        <v>76</v>
      </c>
      <c r="F57" s="46" t="s">
        <v>77</v>
      </c>
      <c r="G57" s="47" t="s">
        <v>11</v>
      </c>
      <c r="H57" s="18"/>
      <c r="I57" s="324"/>
      <c r="J57" s="48" t="s">
        <v>46</v>
      </c>
      <c r="K57" s="49" t="s">
        <v>14</v>
      </c>
      <c r="L57" s="49" t="s">
        <v>76</v>
      </c>
      <c r="M57" s="49" t="s">
        <v>77</v>
      </c>
      <c r="N57" s="50" t="s">
        <v>11</v>
      </c>
      <c r="O57" s="21"/>
      <c r="P57" s="325"/>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153</v>
      </c>
      <c r="C58" s="25" t="s">
        <v>153</v>
      </c>
      <c r="D58" s="25">
        <v>30</v>
      </c>
      <c r="E58" s="25">
        <f>IF($N$7&gt;$D$58,(($N$7/$D$58)-1)*$E$35,0)</f>
        <v>0</v>
      </c>
      <c r="F58" s="26">
        <v>2742905</v>
      </c>
      <c r="G58" s="26">
        <f>$F$58*$E$58</f>
        <v>0</v>
      </c>
      <c r="H58" s="18"/>
      <c r="I58" s="24" t="s">
        <v>152</v>
      </c>
      <c r="J58" s="25" t="s">
        <v>152</v>
      </c>
      <c r="K58" s="25">
        <v>30</v>
      </c>
      <c r="L58" s="25">
        <f>IF($N$7&gt;$K$58,(($N$7/$K$58)-1)*$L$35,0)</f>
        <v>0</v>
      </c>
      <c r="M58" s="26">
        <v>2371332</v>
      </c>
      <c r="N58" s="26">
        <f>$M$58*$L$58</f>
        <v>0</v>
      </c>
      <c r="O58" s="21"/>
      <c r="P58" s="24" t="s">
        <v>152</v>
      </c>
      <c r="Q58" s="25" t="s">
        <v>152</v>
      </c>
      <c r="R58" s="25">
        <v>30</v>
      </c>
      <c r="S58" s="25">
        <f>IF($N$7&gt;$R$58,(($N$7/$R$58)-1)*$S$35,0)</f>
        <v>0</v>
      </c>
      <c r="T58" s="26">
        <v>2371332</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317" t="s">
        <v>126</v>
      </c>
      <c r="C60" s="318"/>
      <c r="D60" s="318"/>
      <c r="E60" s="318"/>
      <c r="F60" s="318"/>
      <c r="G60" s="53">
        <f>SUM($G$58:$G$59)</f>
        <v>0</v>
      </c>
      <c r="H60" s="28"/>
      <c r="I60" s="319" t="s">
        <v>126</v>
      </c>
      <c r="J60" s="320"/>
      <c r="K60" s="320"/>
      <c r="L60" s="320"/>
      <c r="M60" s="320"/>
      <c r="N60" s="54">
        <f>SUM($N$58:$N$59)</f>
        <v>0</v>
      </c>
      <c r="O60" s="28"/>
      <c r="P60" s="321" t="s">
        <v>126</v>
      </c>
      <c r="Q60" s="322"/>
      <c r="R60" s="322"/>
      <c r="S60" s="322"/>
      <c r="T60" s="32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59" t="s">
        <v>74</v>
      </c>
      <c r="C62" s="179" t="str">
        <f>CONCATENATE("ALTERNATIVA 1: ",$D$11)</f>
        <v>ALTERNATIVA 1: Sodio</v>
      </c>
      <c r="D62" s="179"/>
      <c r="E62" s="179"/>
      <c r="F62" s="179"/>
      <c r="G62" s="179"/>
      <c r="H62" s="15"/>
      <c r="I62" s="261" t="s">
        <v>74</v>
      </c>
      <c r="J62" s="180" t="str">
        <f>CONCATENATE("ALTERNATIVA 1: ",$D$13)</f>
        <v>ALTERNATIVA 1: CMH</v>
      </c>
      <c r="K62" s="180"/>
      <c r="L62" s="180"/>
      <c r="M62" s="180"/>
      <c r="N62" s="180"/>
      <c r="O62" s="15"/>
      <c r="P62" s="263" t="s">
        <v>74</v>
      </c>
      <c r="Q62" s="183" t="str">
        <f>CONCATENATE("ALTERNATIVA 3: ",$D$15)</f>
        <v>ALTERNATIVA 3: LED</v>
      </c>
      <c r="R62" s="184"/>
      <c r="S62" s="184"/>
      <c r="T62" s="184"/>
      <c r="U62" s="181"/>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314"/>
      <c r="C63" s="16" t="s">
        <v>72</v>
      </c>
      <c r="D63" s="16" t="s">
        <v>75</v>
      </c>
      <c r="E63" s="16" t="s">
        <v>9</v>
      </c>
      <c r="F63" s="84" t="s">
        <v>73</v>
      </c>
      <c r="G63" s="17" t="s">
        <v>11</v>
      </c>
      <c r="H63" s="18"/>
      <c r="I63" s="315"/>
      <c r="J63" s="19" t="s">
        <v>72</v>
      </c>
      <c r="K63" s="19" t="s">
        <v>75</v>
      </c>
      <c r="L63" s="19" t="s">
        <v>9</v>
      </c>
      <c r="M63" s="13" t="s">
        <v>73</v>
      </c>
      <c r="N63" s="57" t="s">
        <v>11</v>
      </c>
      <c r="O63" s="21"/>
      <c r="P63" s="316"/>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129</v>
      </c>
      <c r="C64" s="25">
        <v>268.7</v>
      </c>
      <c r="D64" s="25">
        <v>12</v>
      </c>
      <c r="E64" s="25">
        <v>29</v>
      </c>
      <c r="F64" s="26">
        <f>$C$64*$D$64*(365/1000)*$N$9</f>
        <v>1059215.3999999999</v>
      </c>
      <c r="G64" s="26">
        <f>$F$64*$E$64</f>
        <v>30717246.599999998</v>
      </c>
      <c r="H64" s="18"/>
      <c r="I64" s="24" t="s">
        <v>133</v>
      </c>
      <c r="J64" s="25">
        <v>268.7</v>
      </c>
      <c r="K64" s="25">
        <v>12</v>
      </c>
      <c r="L64" s="25">
        <v>29</v>
      </c>
      <c r="M64" s="26">
        <f>$J$64*$K$64*(365/1000)*$N$9</f>
        <v>1059215.3999999999</v>
      </c>
      <c r="N64" s="26">
        <f>$M$64*$L$64</f>
        <v>30717246.599999998</v>
      </c>
      <c r="O64" s="21"/>
      <c r="P64" s="24" t="s">
        <v>140</v>
      </c>
      <c r="Q64" s="25">
        <v>185</v>
      </c>
      <c r="R64" s="25">
        <v>12</v>
      </c>
      <c r="S64" s="25">
        <v>29</v>
      </c>
      <c r="T64" s="26">
        <f>$Q$64*$R$64*(365/1000)*$N$9</f>
        <v>729270</v>
      </c>
      <c r="U64" s="26">
        <f>$T$64*$S$64</f>
        <v>21148830</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c r="C65" s="25"/>
      <c r="D65" s="25"/>
      <c r="E65" s="25"/>
      <c r="F65" s="26"/>
      <c r="G65" s="26"/>
      <c r="H65" s="18"/>
      <c r="I65" s="24"/>
      <c r="J65" s="25"/>
      <c r="K65" s="25"/>
      <c r="L65" s="25"/>
      <c r="M65" s="26"/>
      <c r="N65" s="26"/>
      <c r="O65" s="21"/>
      <c r="P65" s="24"/>
      <c r="Q65" s="25"/>
      <c r="R65" s="25"/>
      <c r="S65" s="25"/>
      <c r="T65" s="26"/>
      <c r="U65" s="26"/>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4" t="s">
        <v>53</v>
      </c>
      <c r="C66" s="285"/>
      <c r="D66" s="285"/>
      <c r="E66" s="285"/>
      <c r="F66" s="285"/>
      <c r="G66" s="71">
        <f>SUM($G$64:$G$65)</f>
        <v>30717246.599999998</v>
      </c>
      <c r="H66" s="28"/>
      <c r="I66" s="286" t="s">
        <v>126</v>
      </c>
      <c r="J66" s="287"/>
      <c r="K66" s="287"/>
      <c r="L66" s="287"/>
      <c r="M66" s="287"/>
      <c r="N66" s="29">
        <f>SUM($N$64:$N$65)</f>
        <v>30717246.599999998</v>
      </c>
      <c r="O66" s="28"/>
      <c r="P66" s="288" t="s">
        <v>126</v>
      </c>
      <c r="Q66" s="289"/>
      <c r="R66" s="289"/>
      <c r="S66" s="289"/>
      <c r="T66" s="289"/>
      <c r="U66" s="30">
        <f>SUM($U$64:$U$65)</f>
        <v>21148830</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4" t="s">
        <v>109</v>
      </c>
      <c r="C68" s="285"/>
      <c r="D68" s="285"/>
      <c r="E68" s="285"/>
      <c r="F68" s="285"/>
      <c r="G68" s="86">
        <f>SUMPRODUCT($C$64:$C$65,$E$64:$E$65)/1000</f>
        <v>7.7922999999999991</v>
      </c>
      <c r="H68" s="11"/>
      <c r="I68" s="286" t="s">
        <v>109</v>
      </c>
      <c r="J68" s="287"/>
      <c r="K68" s="287"/>
      <c r="L68" s="287"/>
      <c r="M68" s="287"/>
      <c r="N68" s="87">
        <f>SUMPRODUCT($J$64:$J$65,$L$64:$L$65)/1000</f>
        <v>7.7922999999999991</v>
      </c>
      <c r="O68" s="11"/>
      <c r="P68" s="288" t="s">
        <v>109</v>
      </c>
      <c r="Q68" s="289"/>
      <c r="R68" s="289"/>
      <c r="S68" s="289"/>
      <c r="T68" s="289"/>
      <c r="U68" s="88">
        <f>SUMPRODUCT($Q$64:$Q$65,$S$64:$S$65)/1000</f>
        <v>5.3650000000000002</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4" t="s">
        <v>111</v>
      </c>
      <c r="C69" s="285"/>
      <c r="D69" s="285"/>
      <c r="E69" s="285"/>
      <c r="F69" s="285"/>
      <c r="G69" s="86">
        <f>SUMPRODUCT($C$64:$C$65,$D$64:$D$65,$E$64:$E$65)/1000</f>
        <v>93.507599999999996</v>
      </c>
      <c r="H69" s="11"/>
      <c r="I69" s="286" t="s">
        <v>111</v>
      </c>
      <c r="J69" s="287"/>
      <c r="K69" s="287"/>
      <c r="L69" s="287"/>
      <c r="M69" s="287"/>
      <c r="N69" s="87">
        <f>SUMPRODUCT($J$64:$J$65,$K$64:$K$65,$L$64:$L$65)/1000</f>
        <v>93.507599999999996</v>
      </c>
      <c r="O69" s="11"/>
      <c r="P69" s="288" t="s">
        <v>111</v>
      </c>
      <c r="Q69" s="289"/>
      <c r="R69" s="289"/>
      <c r="S69" s="289"/>
      <c r="T69" s="289"/>
      <c r="U69" s="88">
        <f>SUMPRODUCT($Q$64:$Q$65,$R$64:$R$65,$S$64:$S$65)/1000</f>
        <v>64.38</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265" t="s">
        <v>69</v>
      </c>
      <c r="C71" s="266"/>
      <c r="D71" s="266"/>
      <c r="E71" s="266"/>
      <c r="F71" s="266"/>
      <c r="G71" s="59">
        <f>+G48+G54+G60+G66</f>
        <v>122847375.59999999</v>
      </c>
      <c r="H71" s="11"/>
      <c r="I71" s="267" t="s">
        <v>70</v>
      </c>
      <c r="J71" s="268"/>
      <c r="K71" s="268"/>
      <c r="L71" s="268"/>
      <c r="M71" s="268"/>
      <c r="N71" s="60">
        <f>+N66+N60+N54+N48</f>
        <v>122897574.59999999</v>
      </c>
      <c r="O71" s="11"/>
      <c r="P71" s="269" t="s">
        <v>71</v>
      </c>
      <c r="Q71" s="270"/>
      <c r="R71" s="270"/>
      <c r="S71" s="270"/>
      <c r="T71" s="270"/>
      <c r="U71" s="58">
        <f>+U66+U60+U54+U48</f>
        <v>79035846</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2">
    <mergeCell ref="B1:U1"/>
    <mergeCell ref="B3:C3"/>
    <mergeCell ref="D3:F3"/>
    <mergeCell ref="I3:J3"/>
    <mergeCell ref="L3:N3"/>
    <mergeCell ref="P3:Q3"/>
    <mergeCell ref="B9:C9"/>
    <mergeCell ref="D9:F9"/>
    <mergeCell ref="L9:M9"/>
    <mergeCell ref="P9:Q9"/>
    <mergeCell ref="B11:C11"/>
    <mergeCell ref="D11:F11"/>
    <mergeCell ref="B5:C5"/>
    <mergeCell ref="D5:F5"/>
    <mergeCell ref="I5:J5"/>
    <mergeCell ref="L5:M5"/>
    <mergeCell ref="P5:Q5"/>
    <mergeCell ref="P6:Q8"/>
    <mergeCell ref="B7:C7"/>
    <mergeCell ref="D7:F7"/>
    <mergeCell ref="L7:M7"/>
    <mergeCell ref="B21:B22"/>
    <mergeCell ref="C21:G21"/>
    <mergeCell ref="I21:I22"/>
    <mergeCell ref="J21:N21"/>
    <mergeCell ref="P21:P22"/>
    <mergeCell ref="Q21:U21"/>
    <mergeCell ref="B13:C13"/>
    <mergeCell ref="D13:F13"/>
    <mergeCell ref="B15:C15"/>
    <mergeCell ref="D15:F15"/>
    <mergeCell ref="B19:U19"/>
    <mergeCell ref="B25:F25"/>
    <mergeCell ref="I25:M25"/>
    <mergeCell ref="P25:T25"/>
    <mergeCell ref="B27:B28"/>
    <mergeCell ref="C27:G27"/>
    <mergeCell ref="I27:I28"/>
    <mergeCell ref="J27:N27"/>
    <mergeCell ref="P27:P28"/>
    <mergeCell ref="Q27:U27"/>
    <mergeCell ref="B31:F31"/>
    <mergeCell ref="I31:M31"/>
    <mergeCell ref="P31:T31"/>
    <mergeCell ref="B33:B34"/>
    <mergeCell ref="C33:G33"/>
    <mergeCell ref="I33:I34"/>
    <mergeCell ref="J33:N33"/>
    <mergeCell ref="P33:P34"/>
    <mergeCell ref="Q33:U33"/>
    <mergeCell ref="B42:U42"/>
    <mergeCell ref="B44:B45"/>
    <mergeCell ref="C44:G44"/>
    <mergeCell ref="I44:I45"/>
    <mergeCell ref="J44:N44"/>
    <mergeCell ref="P44:P45"/>
    <mergeCell ref="Q44:U44"/>
    <mergeCell ref="B37:F37"/>
    <mergeCell ref="I37:M37"/>
    <mergeCell ref="P37:T37"/>
    <mergeCell ref="B39:F39"/>
    <mergeCell ref="I39:M39"/>
    <mergeCell ref="P39:T39"/>
    <mergeCell ref="B48:F48"/>
    <mergeCell ref="I48:M48"/>
    <mergeCell ref="P48:T48"/>
    <mergeCell ref="B50:B51"/>
    <mergeCell ref="C50:G50"/>
    <mergeCell ref="I50:I51"/>
    <mergeCell ref="J50:N50"/>
    <mergeCell ref="P50:P51"/>
    <mergeCell ref="Q50:U50"/>
    <mergeCell ref="B54:F54"/>
    <mergeCell ref="I54:M54"/>
    <mergeCell ref="P54:T54"/>
    <mergeCell ref="B56:B57"/>
    <mergeCell ref="C56:G56"/>
    <mergeCell ref="I56:I57"/>
    <mergeCell ref="J56:N56"/>
    <mergeCell ref="P56:P57"/>
    <mergeCell ref="Q56:U56"/>
    <mergeCell ref="B60:F60"/>
    <mergeCell ref="I60:M60"/>
    <mergeCell ref="P60:T60"/>
    <mergeCell ref="B62:B63"/>
    <mergeCell ref="C62:G62"/>
    <mergeCell ref="I62:I63"/>
    <mergeCell ref="J62:N62"/>
    <mergeCell ref="P62:P63"/>
    <mergeCell ref="Q62:U62"/>
    <mergeCell ref="B69:F69"/>
    <mergeCell ref="I69:M69"/>
    <mergeCell ref="P69:T69"/>
    <mergeCell ref="B71:F71"/>
    <mergeCell ref="I71:M71"/>
    <mergeCell ref="P71:T71"/>
    <mergeCell ref="B66:F66"/>
    <mergeCell ref="I66:M66"/>
    <mergeCell ref="P66:T66"/>
    <mergeCell ref="B68:F68"/>
    <mergeCell ref="I68:M68"/>
    <mergeCell ref="P68:T68"/>
  </mergeCells>
  <dataValidations count="3">
    <dataValidation type="decimal" operator="greaterThan" allowBlank="1" showInputMessage="1" showErrorMessage="1" sqref="I5:J5" xr:uid="{D3827E5B-B0F7-4342-A394-95728CF6AE55}">
      <formula1>0</formula1>
    </dataValidation>
    <dataValidation type="whole" allowBlank="1" showInputMessage="1" showErrorMessage="1" sqref="R7 N7" xr:uid="{4780A007-9245-473C-97F3-B84ECD00EDD1}">
      <formula1>1</formula1>
      <formula2>100</formula2>
    </dataValidation>
    <dataValidation type="decimal" allowBlank="1" showInputMessage="1" showErrorMessage="1" sqref="R5" xr:uid="{5C9DBF5D-2F1D-4ECC-85F7-2B0669B6EBB6}">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7CCD662C-2560-4963-9FF2-50BEC012FA32}">
          <x14:formula1>
            <xm:f>Hoja11!$K$1:$K$13</xm:f>
          </x14:formula1>
          <xm:sqref>D7:F7</xm:sqref>
        </x14:dataValidation>
        <x14:dataValidation type="list" xr:uid="{C31DFC33-0F5D-4A35-AEFF-2DF67F74BD16}">
          <x14:formula1>
            <xm:f>Hoja11!$R$2:$R$5</xm:f>
          </x14:formula1>
          <xm:sqref>N5</xm:sqref>
        </x14:dataValidation>
        <x14:dataValidation type="list" allowBlank="1" showInputMessage="1" showErrorMessage="1" xr:uid="{728EF4A1-E14C-4E31-8C01-416D56F909EB}">
          <x14:formula1>
            <xm:f>Hoja11!$P$2:$P$5</xm:f>
          </x14:formula1>
          <xm:sqref>D9:F9</xm:sqref>
        </x14:dataValidation>
        <x14:dataValidation type="list" allowBlank="1" showInputMessage="1" showErrorMessage="1" xr:uid="{672F8A21-9B1E-47C9-93D2-574AE4DF97B0}">
          <x14:formula1>
            <xm:f>Hoja11!$F$2:$F$4</xm:f>
          </x14:formula1>
          <xm:sqref>C12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62159-FC9E-484F-BBB6-95E1A730F6DF}">
  <sheetPr codeName="Hoja12">
    <tabColor rgb="FF00B0F0"/>
  </sheetPr>
  <dimension ref="A1:AP642"/>
  <sheetViews>
    <sheetView zoomScale="80" zoomScaleNormal="80" workbookViewId="0">
      <selection activeCell="N10" sqref="N10"/>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277" t="s">
        <v>165</v>
      </c>
      <c r="C1" s="277"/>
      <c r="D1" s="277"/>
      <c r="E1" s="277"/>
      <c r="F1" s="277"/>
      <c r="G1" s="277"/>
      <c r="H1" s="277"/>
      <c r="I1" s="277"/>
      <c r="J1" s="277"/>
      <c r="K1" s="277"/>
      <c r="L1" s="277"/>
      <c r="M1" s="277"/>
      <c r="N1" s="277"/>
      <c r="O1" s="277"/>
      <c r="P1" s="277"/>
      <c r="Q1" s="277"/>
      <c r="R1" s="277"/>
      <c r="S1" s="277"/>
      <c r="T1" s="277"/>
      <c r="U1" s="277"/>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25</v>
      </c>
      <c r="AB2" s="73">
        <v>25</v>
      </c>
      <c r="AC2" s="73">
        <v>25</v>
      </c>
      <c r="AD2" s="73">
        <v>23</v>
      </c>
      <c r="AE2" s="73">
        <v>25</v>
      </c>
      <c r="AF2" s="73"/>
      <c r="AG2" s="73"/>
      <c r="AH2" s="73">
        <v>23</v>
      </c>
      <c r="AI2" s="73" t="s">
        <v>47</v>
      </c>
      <c r="AJ2" s="73">
        <v>23</v>
      </c>
      <c r="AK2" s="73">
        <v>23</v>
      </c>
      <c r="AL2" s="73">
        <v>23</v>
      </c>
      <c r="AM2" s="73">
        <v>23</v>
      </c>
      <c r="AN2" s="73">
        <v>25</v>
      </c>
      <c r="AO2" s="68"/>
      <c r="AP2" s="68"/>
    </row>
    <row r="3" spans="1:42" ht="16.5" customHeight="1" x14ac:dyDescent="0.25">
      <c r="B3" s="191" t="s">
        <v>95</v>
      </c>
      <c r="C3" s="191"/>
      <c r="D3" s="302" t="s">
        <v>169</v>
      </c>
      <c r="E3" s="303"/>
      <c r="F3" s="304"/>
      <c r="G3" s="6"/>
      <c r="H3" s="6"/>
      <c r="I3" s="191" t="s">
        <v>121</v>
      </c>
      <c r="J3" s="191"/>
      <c r="K3" s="31"/>
      <c r="L3" s="282" t="s">
        <v>113</v>
      </c>
      <c r="M3" s="282"/>
      <c r="N3" s="282"/>
      <c r="O3" s="6"/>
      <c r="P3" s="189"/>
      <c r="Q3" s="189"/>
      <c r="R3" s="6"/>
      <c r="S3" s="6"/>
      <c r="T3" s="6"/>
      <c r="U3" s="6"/>
      <c r="Y3" s="73">
        <v>29</v>
      </c>
      <c r="Z3" s="73" t="s">
        <v>49</v>
      </c>
      <c r="AA3" s="73">
        <v>31</v>
      </c>
      <c r="AB3" s="73">
        <v>31</v>
      </c>
      <c r="AC3" s="73">
        <v>31</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91" t="s">
        <v>96</v>
      </c>
      <c r="C5" s="191"/>
      <c r="D5" s="302" t="s">
        <v>170</v>
      </c>
      <c r="E5" s="303"/>
      <c r="F5" s="304"/>
      <c r="G5" s="6"/>
      <c r="H5" s="6"/>
      <c r="I5" s="328">
        <v>200</v>
      </c>
      <c r="J5" s="329"/>
      <c r="K5" s="31"/>
      <c r="L5" s="194" t="s">
        <v>106</v>
      </c>
      <c r="M5" s="195"/>
      <c r="N5" s="79">
        <v>0.115</v>
      </c>
      <c r="O5" s="6"/>
      <c r="P5" s="307"/>
      <c r="Q5" s="307"/>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03"/>
      <c r="Q6" s="203"/>
      <c r="R6" s="67"/>
      <c r="S6" s="6"/>
      <c r="T6" s="6"/>
      <c r="U6" s="6"/>
      <c r="Y6" s="73">
        <v>46</v>
      </c>
      <c r="Z6" s="73" t="s">
        <v>64</v>
      </c>
      <c r="AA6" s="73">
        <v>48</v>
      </c>
      <c r="AB6" s="73">
        <v>48</v>
      </c>
      <c r="AC6" s="73">
        <v>48</v>
      </c>
      <c r="AD6" s="73">
        <v>46</v>
      </c>
      <c r="AE6" s="73">
        <v>48</v>
      </c>
      <c r="AH6" s="73">
        <v>46</v>
      </c>
      <c r="AI6" s="73" t="s">
        <v>64</v>
      </c>
      <c r="AJ6" s="73">
        <v>46</v>
      </c>
      <c r="AK6" s="73">
        <v>46</v>
      </c>
      <c r="AL6" s="73">
        <v>46</v>
      </c>
      <c r="AM6" s="73">
        <v>46</v>
      </c>
      <c r="AN6" s="73">
        <v>48</v>
      </c>
    </row>
    <row r="7" spans="1:42" ht="16.5" customHeight="1" x14ac:dyDescent="0.25">
      <c r="B7" s="191" t="s">
        <v>97</v>
      </c>
      <c r="C7" s="191"/>
      <c r="D7" s="308" t="s">
        <v>79</v>
      </c>
      <c r="E7" s="188"/>
      <c r="F7" s="309"/>
      <c r="G7" s="6"/>
      <c r="H7" s="6"/>
      <c r="I7" s="77"/>
      <c r="J7" s="77"/>
      <c r="K7" s="31"/>
      <c r="L7" s="194" t="s">
        <v>104</v>
      </c>
      <c r="M7" s="195"/>
      <c r="N7" s="81">
        <v>30</v>
      </c>
      <c r="O7" s="6"/>
      <c r="P7" s="203"/>
      <c r="Q7" s="203"/>
      <c r="R7" s="67"/>
      <c r="S7" s="6"/>
      <c r="T7" s="6"/>
      <c r="U7" s="6"/>
      <c r="Y7" s="73">
        <v>52</v>
      </c>
      <c r="Z7" s="73" t="s">
        <v>65</v>
      </c>
      <c r="AA7" s="73">
        <v>54</v>
      </c>
      <c r="AB7" s="73">
        <v>54</v>
      </c>
      <c r="AC7" s="73">
        <v>54</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03"/>
      <c r="Q8" s="203"/>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91" t="s">
        <v>98</v>
      </c>
      <c r="C9" s="191"/>
      <c r="D9" s="308" t="s">
        <v>100</v>
      </c>
      <c r="E9" s="188"/>
      <c r="F9" s="309"/>
      <c r="G9" s="6"/>
      <c r="H9" s="6"/>
      <c r="I9" s="31"/>
      <c r="J9" s="31"/>
      <c r="K9" s="31"/>
      <c r="L9" s="194" t="s">
        <v>105</v>
      </c>
      <c r="M9" s="195"/>
      <c r="N9" s="82">
        <v>900</v>
      </c>
      <c r="O9" s="6"/>
      <c r="P9" s="307"/>
      <c r="Q9" s="307"/>
      <c r="R9" s="8"/>
      <c r="S9" s="6"/>
      <c r="T9" s="6"/>
      <c r="U9" s="6"/>
      <c r="Y9" s="73">
        <v>64</v>
      </c>
      <c r="Z9" s="73" t="s">
        <v>67</v>
      </c>
      <c r="AA9" s="73">
        <v>66</v>
      </c>
      <c r="AB9" s="73">
        <v>66</v>
      </c>
      <c r="AC9" s="73">
        <v>66</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31"/>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281" t="s">
        <v>103</v>
      </c>
      <c r="C11" s="281"/>
      <c r="D11" s="308" t="s">
        <v>31</v>
      </c>
      <c r="E11" s="188"/>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280" t="s">
        <v>107</v>
      </c>
      <c r="C13" s="280"/>
      <c r="D13" s="308" t="s">
        <v>163</v>
      </c>
      <c r="E13" s="188"/>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279" t="s">
        <v>108</v>
      </c>
      <c r="C15" s="279"/>
      <c r="D15" s="308" t="s">
        <v>68</v>
      </c>
      <c r="E15" s="188"/>
      <c r="F15" s="309"/>
      <c r="G15" s="6"/>
      <c r="H15" s="6"/>
      <c r="I15" s="31"/>
      <c r="J15" s="31"/>
      <c r="K15" s="31"/>
      <c r="L15" s="31"/>
      <c r="M15" s="31"/>
      <c r="N15" s="31"/>
      <c r="O15" s="6"/>
      <c r="P15" s="6"/>
      <c r="Q15" s="67"/>
      <c r="R15" s="67"/>
      <c r="S15" s="31"/>
      <c r="T15" s="3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176" t="s">
        <v>8</v>
      </c>
      <c r="C19" s="176"/>
      <c r="D19" s="176"/>
      <c r="E19" s="176"/>
      <c r="F19" s="176"/>
      <c r="G19" s="176"/>
      <c r="H19" s="176"/>
      <c r="I19" s="176"/>
      <c r="J19" s="176"/>
      <c r="K19" s="176"/>
      <c r="L19" s="176"/>
      <c r="M19" s="176"/>
      <c r="N19" s="176"/>
      <c r="O19" s="176"/>
      <c r="P19" s="176"/>
      <c r="Q19" s="176"/>
      <c r="R19" s="176"/>
      <c r="S19" s="176"/>
      <c r="T19" s="176"/>
      <c r="U19" s="176"/>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177" t="s">
        <v>13</v>
      </c>
      <c r="C21" s="179" t="str">
        <f>CONCATENATE("ALTERNATIVA 1: ",$D$11)</f>
        <v>ALTERNATIVA 1: Sodio</v>
      </c>
      <c r="D21" s="179"/>
      <c r="E21" s="179"/>
      <c r="F21" s="179"/>
      <c r="G21" s="179"/>
      <c r="H21" s="15"/>
      <c r="I21" s="190" t="s">
        <v>13</v>
      </c>
      <c r="J21" s="180" t="str">
        <f>CONCATENATE("ALTERNATIVA 1: ",$D$13)</f>
        <v>ALTERNATIVA 1: CMH</v>
      </c>
      <c r="K21" s="180"/>
      <c r="L21" s="180"/>
      <c r="M21" s="180"/>
      <c r="N21" s="180"/>
      <c r="O21" s="15"/>
      <c r="P21" s="181" t="s">
        <v>13</v>
      </c>
      <c r="Q21" s="183" t="str">
        <f>CONCATENATE("ALTERNATIVA 3: ",$D$15)</f>
        <v>ALTERNATIVA 3: LED</v>
      </c>
      <c r="R21" s="184"/>
      <c r="S21" s="184"/>
      <c r="T21" s="184"/>
      <c r="U21" s="181"/>
    </row>
    <row r="22" spans="2:42" ht="21" x14ac:dyDescent="0.25">
      <c r="B22" s="311"/>
      <c r="C22" s="16" t="s">
        <v>72</v>
      </c>
      <c r="D22" s="16" t="s">
        <v>14</v>
      </c>
      <c r="E22" s="16" t="s">
        <v>9</v>
      </c>
      <c r="F22" s="16" t="s">
        <v>10</v>
      </c>
      <c r="G22" s="17" t="s">
        <v>11</v>
      </c>
      <c r="H22" s="18"/>
      <c r="I22" s="190"/>
      <c r="J22" s="19" t="s">
        <v>72</v>
      </c>
      <c r="K22" s="19" t="s">
        <v>14</v>
      </c>
      <c r="L22" s="19" t="s">
        <v>9</v>
      </c>
      <c r="M22" s="19" t="s">
        <v>10</v>
      </c>
      <c r="N22" s="20" t="s">
        <v>11</v>
      </c>
      <c r="O22" s="21"/>
      <c r="P22" s="312"/>
      <c r="Q22" s="22" t="s">
        <v>72</v>
      </c>
      <c r="R22" s="22" t="s">
        <v>14</v>
      </c>
      <c r="S22" s="22" t="s">
        <v>9</v>
      </c>
      <c r="T22" s="22" t="s">
        <v>10</v>
      </c>
      <c r="U22" s="23" t="s">
        <v>11</v>
      </c>
    </row>
    <row r="23" spans="2:42" x14ac:dyDescent="0.25">
      <c r="B23" s="24" t="s">
        <v>129</v>
      </c>
      <c r="C23" s="25">
        <v>268.7</v>
      </c>
      <c r="D23" s="72">
        <v>7.5</v>
      </c>
      <c r="E23" s="25">
        <v>5</v>
      </c>
      <c r="F23" s="26">
        <v>1058967</v>
      </c>
      <c r="G23" s="26">
        <f>$F$23*$E$23</f>
        <v>5294835</v>
      </c>
      <c r="H23" s="18"/>
      <c r="I23" s="24" t="s">
        <v>133</v>
      </c>
      <c r="J23" s="25">
        <v>268.7</v>
      </c>
      <c r="K23" s="25">
        <v>7.5</v>
      </c>
      <c r="L23" s="25">
        <v>5</v>
      </c>
      <c r="M23" s="26">
        <v>1059544</v>
      </c>
      <c r="N23" s="26">
        <f>$M$23*$L$23</f>
        <v>5297720</v>
      </c>
      <c r="O23" s="21"/>
      <c r="P23" s="24" t="s">
        <v>140</v>
      </c>
      <c r="Q23" s="25">
        <v>185</v>
      </c>
      <c r="R23" s="25">
        <v>15</v>
      </c>
      <c r="S23" s="25">
        <v>5</v>
      </c>
      <c r="T23" s="26">
        <v>1996104</v>
      </c>
      <c r="U23" s="26">
        <f>$T$23*$S$23</f>
        <v>9980520</v>
      </c>
    </row>
    <row r="24" spans="2:42" x14ac:dyDescent="0.25">
      <c r="B24" s="24" t="s">
        <v>127</v>
      </c>
      <c r="C24" s="25">
        <v>78.05</v>
      </c>
      <c r="D24" s="25">
        <v>7.5</v>
      </c>
      <c r="E24" s="25">
        <v>3</v>
      </c>
      <c r="F24" s="26">
        <v>811799</v>
      </c>
      <c r="G24" s="26">
        <f>$F$24*$E$24</f>
        <v>2435397</v>
      </c>
      <c r="H24" s="18"/>
      <c r="I24" s="24" t="s">
        <v>131</v>
      </c>
      <c r="J24" s="25">
        <v>78.05</v>
      </c>
      <c r="K24" s="25">
        <v>7.5</v>
      </c>
      <c r="L24" s="25">
        <v>3</v>
      </c>
      <c r="M24" s="26">
        <v>781135</v>
      </c>
      <c r="N24" s="26">
        <f>$M$24*$L$24</f>
        <v>2343405</v>
      </c>
      <c r="O24" s="21"/>
      <c r="P24" s="24" t="s">
        <v>135</v>
      </c>
      <c r="Q24" s="25">
        <v>41.3</v>
      </c>
      <c r="R24" s="25">
        <v>15</v>
      </c>
      <c r="S24" s="25">
        <v>3</v>
      </c>
      <c r="T24" s="26">
        <v>1219123</v>
      </c>
      <c r="U24" s="26">
        <f>$T$24*$S$24</f>
        <v>3657369</v>
      </c>
    </row>
    <row r="25" spans="2:42" ht="16.5" customHeight="1" x14ac:dyDescent="0.25">
      <c r="B25" s="284" t="s">
        <v>126</v>
      </c>
      <c r="C25" s="285"/>
      <c r="D25" s="285"/>
      <c r="E25" s="285"/>
      <c r="F25" s="285"/>
      <c r="G25" s="27">
        <f>SUM($G$23:$G$24)</f>
        <v>7730232</v>
      </c>
      <c r="H25" s="28"/>
      <c r="I25" s="286" t="s">
        <v>126</v>
      </c>
      <c r="J25" s="287"/>
      <c r="K25" s="287"/>
      <c r="L25" s="287"/>
      <c r="M25" s="287"/>
      <c r="N25" s="29">
        <f>SUM($N$23:$N$24)</f>
        <v>7641125</v>
      </c>
      <c r="O25" s="28"/>
      <c r="P25" s="288" t="s">
        <v>126</v>
      </c>
      <c r="Q25" s="289"/>
      <c r="R25" s="289"/>
      <c r="S25" s="289"/>
      <c r="T25" s="289"/>
      <c r="U25" s="30">
        <f>SUM($U$23:$U$24)</f>
        <v>13637889</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39" t="s">
        <v>15</v>
      </c>
      <c r="C27" s="241" t="str">
        <f>CONCATENATE("ALTERNATIVA 1: ",$D$11)</f>
        <v>ALTERNATIVA 1: Sodio</v>
      </c>
      <c r="D27" s="241"/>
      <c r="E27" s="241"/>
      <c r="F27" s="241"/>
      <c r="G27" s="241"/>
      <c r="H27" s="35"/>
      <c r="I27" s="248" t="s">
        <v>15</v>
      </c>
      <c r="J27" s="244" t="str">
        <f>CONCATENATE("ALTERNATIVA 1: ",$D$13)</f>
        <v>ALTERNATIVA 1: CMH</v>
      </c>
      <c r="K27" s="244"/>
      <c r="L27" s="244"/>
      <c r="M27" s="244"/>
      <c r="N27" s="245"/>
      <c r="O27" s="35"/>
      <c r="P27" s="246" t="s">
        <v>15</v>
      </c>
      <c r="Q27" s="236" t="str">
        <f>CONCATENATE("ALTERNATIVA 3: ",$D$15)</f>
        <v>ALTERNATIVA 3: LED</v>
      </c>
      <c r="R27" s="237"/>
      <c r="S27" s="237"/>
      <c r="T27" s="237"/>
      <c r="U27" s="238"/>
    </row>
    <row r="28" spans="2:42" ht="21" x14ac:dyDescent="0.25">
      <c r="B28" s="301"/>
      <c r="C28" s="36" t="s">
        <v>30</v>
      </c>
      <c r="D28" s="36" t="s">
        <v>14</v>
      </c>
      <c r="E28" s="36" t="s">
        <v>9</v>
      </c>
      <c r="F28" s="36" t="s">
        <v>10</v>
      </c>
      <c r="G28" s="37" t="s">
        <v>11</v>
      </c>
      <c r="H28" s="18"/>
      <c r="I28" s="248"/>
      <c r="J28" s="38" t="s">
        <v>30</v>
      </c>
      <c r="K28" s="39" t="s">
        <v>14</v>
      </c>
      <c r="L28" s="39" t="s">
        <v>9</v>
      </c>
      <c r="M28" s="39" t="s">
        <v>10</v>
      </c>
      <c r="N28" s="40" t="s">
        <v>11</v>
      </c>
      <c r="O28" s="21"/>
      <c r="P28" s="313"/>
      <c r="Q28" s="41" t="s">
        <v>30</v>
      </c>
      <c r="R28" s="41" t="s">
        <v>14</v>
      </c>
      <c r="S28" s="41" t="s">
        <v>9</v>
      </c>
      <c r="T28" s="41" t="s">
        <v>10</v>
      </c>
      <c r="U28" s="42" t="s">
        <v>11</v>
      </c>
    </row>
    <row r="29" spans="2:42" x14ac:dyDescent="0.25">
      <c r="B29" s="24" t="s">
        <v>144</v>
      </c>
      <c r="C29" s="25" t="s">
        <v>37</v>
      </c>
      <c r="D29" s="25">
        <v>30</v>
      </c>
      <c r="E29" s="25">
        <v>5</v>
      </c>
      <c r="F29" s="26">
        <v>788104</v>
      </c>
      <c r="G29" s="26">
        <f>$F$29*$E$29</f>
        <v>3940520</v>
      </c>
      <c r="H29" s="18"/>
      <c r="I29" s="24" t="s">
        <v>144</v>
      </c>
      <c r="J29" s="25" t="s">
        <v>37</v>
      </c>
      <c r="K29" s="25">
        <v>30</v>
      </c>
      <c r="L29" s="25">
        <v>5</v>
      </c>
      <c r="M29" s="26">
        <v>788104</v>
      </c>
      <c r="N29" s="26">
        <f>$M$29*$L$29</f>
        <v>3940520</v>
      </c>
      <c r="O29" s="21"/>
      <c r="P29" s="24" t="s">
        <v>144</v>
      </c>
      <c r="Q29" s="25" t="s">
        <v>37</v>
      </c>
      <c r="R29" s="25">
        <v>30</v>
      </c>
      <c r="S29" s="25">
        <v>5</v>
      </c>
      <c r="T29" s="26">
        <v>788104</v>
      </c>
      <c r="U29" s="26">
        <f>$T$29*$S$29</f>
        <v>3940520</v>
      </c>
    </row>
    <row r="30" spans="2:42" x14ac:dyDescent="0.25">
      <c r="B30" s="24" t="s">
        <v>142</v>
      </c>
      <c r="C30" s="25" t="s">
        <v>37</v>
      </c>
      <c r="D30" s="25">
        <v>30</v>
      </c>
      <c r="E30" s="25">
        <v>3</v>
      </c>
      <c r="F30" s="26">
        <v>486390</v>
      </c>
      <c r="G30" s="26">
        <f>$F$30*$E$30</f>
        <v>1459170</v>
      </c>
      <c r="H30" s="18"/>
      <c r="I30" s="24" t="s">
        <v>142</v>
      </c>
      <c r="J30" s="25" t="s">
        <v>37</v>
      </c>
      <c r="K30" s="25">
        <v>30</v>
      </c>
      <c r="L30" s="25">
        <v>3</v>
      </c>
      <c r="M30" s="26">
        <v>486390</v>
      </c>
      <c r="N30" s="26">
        <f>$M$30*$L$30</f>
        <v>1459170</v>
      </c>
      <c r="O30" s="21"/>
      <c r="P30" s="24" t="s">
        <v>142</v>
      </c>
      <c r="Q30" s="25" t="s">
        <v>37</v>
      </c>
      <c r="R30" s="25">
        <v>30</v>
      </c>
      <c r="S30" s="25">
        <v>3</v>
      </c>
      <c r="T30" s="26">
        <v>486390</v>
      </c>
      <c r="U30" s="26">
        <f>$T$30*$S$30</f>
        <v>1459170</v>
      </c>
    </row>
    <row r="31" spans="2:42" x14ac:dyDescent="0.25">
      <c r="B31" s="293" t="s">
        <v>126</v>
      </c>
      <c r="C31" s="294"/>
      <c r="D31" s="294"/>
      <c r="E31" s="294"/>
      <c r="F31" s="294"/>
      <c r="G31" s="43">
        <f>SUM($G$29:$G$30)</f>
        <v>5399690</v>
      </c>
      <c r="H31" s="28"/>
      <c r="I31" s="295" t="s">
        <v>126</v>
      </c>
      <c r="J31" s="296"/>
      <c r="K31" s="296"/>
      <c r="L31" s="296"/>
      <c r="M31" s="296"/>
      <c r="N31" s="44">
        <f>SUM($N$29:$N$30)</f>
        <v>5399690</v>
      </c>
      <c r="O31" s="28"/>
      <c r="P31" s="297" t="s">
        <v>126</v>
      </c>
      <c r="Q31" s="298"/>
      <c r="R31" s="298"/>
      <c r="S31" s="298"/>
      <c r="T31" s="298"/>
      <c r="U31" s="45">
        <f>SUM($U$29:$U$30)</f>
        <v>5399690</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24" t="s">
        <v>45</v>
      </c>
      <c r="C33" s="226" t="str">
        <f>CONCATENATE("ALTERNATIVA 1: ",$D$11)</f>
        <v>ALTERNATIVA 1: Sodio</v>
      </c>
      <c r="D33" s="226"/>
      <c r="E33" s="226"/>
      <c r="F33" s="226"/>
      <c r="G33" s="226"/>
      <c r="H33" s="35"/>
      <c r="I33" s="222" t="s">
        <v>45</v>
      </c>
      <c r="J33" s="227" t="str">
        <f>CONCATENATE("ALTERNATIVA 1: ",$D$13)</f>
        <v>ALTERNATIVA 1: CMH</v>
      </c>
      <c r="K33" s="227"/>
      <c r="L33" s="227"/>
      <c r="M33" s="227"/>
      <c r="N33" s="227"/>
      <c r="O33" s="35"/>
      <c r="P33" s="228" t="s">
        <v>45</v>
      </c>
      <c r="Q33" s="219" t="str">
        <f>CONCATENATE("ALTERNATIVA 3: ",$D$15)</f>
        <v>ALTERNATIVA 3: LED</v>
      </c>
      <c r="R33" s="220"/>
      <c r="S33" s="220"/>
      <c r="T33" s="220"/>
      <c r="U33" s="221"/>
    </row>
    <row r="34" spans="2:42" ht="21" x14ac:dyDescent="0.25">
      <c r="B34" s="299"/>
      <c r="C34" s="46" t="s">
        <v>46</v>
      </c>
      <c r="D34" s="46" t="s">
        <v>14</v>
      </c>
      <c r="E34" s="46" t="s">
        <v>9</v>
      </c>
      <c r="F34" s="46" t="s">
        <v>10</v>
      </c>
      <c r="G34" s="47" t="s">
        <v>11</v>
      </c>
      <c r="H34" s="18"/>
      <c r="I34" s="223"/>
      <c r="J34" s="48" t="s">
        <v>46</v>
      </c>
      <c r="K34" s="49" t="s">
        <v>14</v>
      </c>
      <c r="L34" s="49" t="s">
        <v>9</v>
      </c>
      <c r="M34" s="49" t="s">
        <v>10</v>
      </c>
      <c r="N34" s="50" t="s">
        <v>11</v>
      </c>
      <c r="O34" s="21"/>
      <c r="P34" s="300"/>
      <c r="Q34" s="51" t="s">
        <v>46</v>
      </c>
      <c r="R34" s="51" t="s">
        <v>14</v>
      </c>
      <c r="S34" s="51" t="s">
        <v>9</v>
      </c>
      <c r="T34" s="51" t="s">
        <v>10</v>
      </c>
      <c r="U34" s="52" t="s">
        <v>11</v>
      </c>
    </row>
    <row r="35" spans="2:42" x14ac:dyDescent="0.25">
      <c r="B35" s="24" t="s">
        <v>152</v>
      </c>
      <c r="C35" s="83" t="s">
        <v>152</v>
      </c>
      <c r="D35" s="25">
        <v>30</v>
      </c>
      <c r="E35" s="25">
        <v>1</v>
      </c>
      <c r="F35" s="26">
        <v>2371332</v>
      </c>
      <c r="G35" s="26">
        <f>$F$35*$E$35</f>
        <v>2371332</v>
      </c>
      <c r="H35" s="18"/>
      <c r="I35" s="24" t="s">
        <v>152</v>
      </c>
      <c r="J35" s="83" t="s">
        <v>152</v>
      </c>
      <c r="K35" s="25">
        <v>30</v>
      </c>
      <c r="L35" s="25">
        <v>1</v>
      </c>
      <c r="M35" s="26">
        <v>2371332</v>
      </c>
      <c r="N35" s="26">
        <f>$M$35*$L$35</f>
        <v>2371332</v>
      </c>
      <c r="O35" s="21"/>
      <c r="P35" s="24" t="s">
        <v>152</v>
      </c>
      <c r="Q35" s="83" t="s">
        <v>152</v>
      </c>
      <c r="R35" s="25">
        <v>30</v>
      </c>
      <c r="S35" s="25">
        <v>1</v>
      </c>
      <c r="T35" s="26">
        <v>2371332</v>
      </c>
      <c r="U35" s="26">
        <f>$T$35*$S$35</f>
        <v>2371332</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317" t="s">
        <v>126</v>
      </c>
      <c r="C37" s="318"/>
      <c r="D37" s="318"/>
      <c r="E37" s="318"/>
      <c r="F37" s="318"/>
      <c r="G37" s="53">
        <f>SUM($G$35:$G$36)</f>
        <v>2371332</v>
      </c>
      <c r="H37" s="28"/>
      <c r="I37" s="319" t="s">
        <v>126</v>
      </c>
      <c r="J37" s="320"/>
      <c r="K37" s="320"/>
      <c r="L37" s="320"/>
      <c r="M37" s="320"/>
      <c r="N37" s="54">
        <f>SUM($N$35:$N$36)</f>
        <v>2371332</v>
      </c>
      <c r="O37" s="28"/>
      <c r="P37" s="321" t="s">
        <v>126</v>
      </c>
      <c r="Q37" s="322"/>
      <c r="R37" s="322"/>
      <c r="S37" s="322"/>
      <c r="T37" s="322"/>
      <c r="U37" s="55">
        <f>SUM($U$35:$U$36)</f>
        <v>2371332</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265" t="s">
        <v>59</v>
      </c>
      <c r="C39" s="266"/>
      <c r="D39" s="266"/>
      <c r="E39" s="266"/>
      <c r="F39" s="266"/>
      <c r="G39" s="59">
        <f>+G37+G31+G25</f>
        <v>15501254</v>
      </c>
      <c r="H39" s="11"/>
      <c r="I39" s="267" t="s">
        <v>60</v>
      </c>
      <c r="J39" s="268"/>
      <c r="K39" s="268"/>
      <c r="L39" s="268"/>
      <c r="M39" s="268"/>
      <c r="N39" s="60">
        <f>+N37+N31+N25</f>
        <v>15412147</v>
      </c>
      <c r="O39" s="11"/>
      <c r="P39" s="269" t="s">
        <v>61</v>
      </c>
      <c r="Q39" s="270"/>
      <c r="R39" s="270"/>
      <c r="S39" s="270"/>
      <c r="T39" s="270"/>
      <c r="U39" s="58">
        <f>+U37+U31+U25</f>
        <v>21408911</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176" t="s">
        <v>29</v>
      </c>
      <c r="C42" s="176"/>
      <c r="D42" s="176"/>
      <c r="E42" s="176"/>
      <c r="F42" s="176"/>
      <c r="G42" s="176"/>
      <c r="H42" s="176"/>
      <c r="I42" s="176"/>
      <c r="J42" s="176"/>
      <c r="K42" s="176"/>
      <c r="L42" s="176"/>
      <c r="M42" s="176"/>
      <c r="N42" s="176"/>
      <c r="O42" s="176"/>
      <c r="P42" s="176"/>
      <c r="Q42" s="176"/>
      <c r="R42" s="176"/>
      <c r="S42" s="176"/>
      <c r="T42" s="176"/>
      <c r="U42" s="176"/>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59" t="s">
        <v>56</v>
      </c>
      <c r="C44" s="179" t="str">
        <f>CONCATENATE("ALTERNATIVA 1: ",$D$11)</f>
        <v>ALTERNATIVA 1: Sodio</v>
      </c>
      <c r="D44" s="179"/>
      <c r="E44" s="179"/>
      <c r="F44" s="179"/>
      <c r="G44" s="179"/>
      <c r="H44" s="15"/>
      <c r="I44" s="261" t="s">
        <v>56</v>
      </c>
      <c r="J44" s="180" t="str">
        <f>CONCATENATE("ALTERNATIVA 1: ",$D$13)</f>
        <v>ALTERNATIVA 1: CMH</v>
      </c>
      <c r="K44" s="180"/>
      <c r="L44" s="180"/>
      <c r="M44" s="180"/>
      <c r="N44" s="180"/>
      <c r="O44" s="15"/>
      <c r="P44" s="263" t="s">
        <v>56</v>
      </c>
      <c r="Q44" s="183" t="str">
        <f>CONCATENATE("ALTERNATIVA 3: ",$D$15)</f>
        <v>ALTERNATIVA 3: LED</v>
      </c>
      <c r="R44" s="184"/>
      <c r="S44" s="184"/>
      <c r="T44" s="184"/>
      <c r="U44" s="181"/>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314"/>
      <c r="C45" s="16" t="s">
        <v>12</v>
      </c>
      <c r="D45" s="16" t="s">
        <v>14</v>
      </c>
      <c r="E45" s="16" t="s">
        <v>76</v>
      </c>
      <c r="F45" s="16" t="s">
        <v>77</v>
      </c>
      <c r="G45" s="17" t="s">
        <v>11</v>
      </c>
      <c r="H45" s="18"/>
      <c r="I45" s="315"/>
      <c r="J45" s="56" t="s">
        <v>12</v>
      </c>
      <c r="K45" s="19" t="s">
        <v>14</v>
      </c>
      <c r="L45" s="19" t="s">
        <v>76</v>
      </c>
      <c r="M45" s="19" t="s">
        <v>77</v>
      </c>
      <c r="N45" s="20" t="s">
        <v>11</v>
      </c>
      <c r="O45" s="21"/>
      <c r="P45" s="316"/>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129</v>
      </c>
      <c r="C46" s="25">
        <v>268.7</v>
      </c>
      <c r="D46" s="72">
        <v>7.5</v>
      </c>
      <c r="E46" s="70">
        <f>IF($N$7&gt;$D$46,(($N$7/$D$46)-1)*$E$23,0)</f>
        <v>15</v>
      </c>
      <c r="F46" s="26">
        <v>1058967</v>
      </c>
      <c r="G46" s="26">
        <f>$F$46*$E$46</f>
        <v>15884505</v>
      </c>
      <c r="H46" s="18"/>
      <c r="I46" s="24" t="s">
        <v>133</v>
      </c>
      <c r="J46" s="25">
        <v>268.7</v>
      </c>
      <c r="K46" s="25">
        <v>7.5</v>
      </c>
      <c r="L46" s="70">
        <f>IF($N$7&gt;$K$46,(($N$7/$K$46)-1)*$L$23,0)</f>
        <v>15</v>
      </c>
      <c r="M46" s="26">
        <v>1059544</v>
      </c>
      <c r="N46" s="26">
        <f>$M$46*$L$46</f>
        <v>15893160</v>
      </c>
      <c r="O46" s="21"/>
      <c r="P46" s="24" t="s">
        <v>140</v>
      </c>
      <c r="Q46" s="25">
        <v>185</v>
      </c>
      <c r="R46" s="25">
        <v>15</v>
      </c>
      <c r="S46" s="70">
        <f>IF($N$7&gt;$R$46,(($N$7/$R$46)-1)*$S$23,0)</f>
        <v>5</v>
      </c>
      <c r="T46" s="26">
        <v>1996104</v>
      </c>
      <c r="U46" s="26">
        <f>$T$46*$S$46</f>
        <v>9980520</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t="s">
        <v>127</v>
      </c>
      <c r="C47" s="25">
        <v>78.05</v>
      </c>
      <c r="D47" s="25">
        <v>7.5</v>
      </c>
      <c r="E47" s="70">
        <f>IF($N$7&gt;$D$47,(($N$7/$D$47)-1)*$E$24,0)</f>
        <v>9</v>
      </c>
      <c r="F47" s="26">
        <v>811799</v>
      </c>
      <c r="G47" s="26">
        <f>$F$47*$E$47</f>
        <v>7306191</v>
      </c>
      <c r="H47" s="18"/>
      <c r="I47" s="24" t="s">
        <v>131</v>
      </c>
      <c r="J47" s="25">
        <v>78.05</v>
      </c>
      <c r="K47" s="25">
        <v>7.5</v>
      </c>
      <c r="L47" s="70">
        <f>IF($N$7&gt;$K$47,(($N$7/$K$47)-1)*$L$24,0)</f>
        <v>9</v>
      </c>
      <c r="M47" s="26">
        <v>781135</v>
      </c>
      <c r="N47" s="26">
        <f>$M$47*$L$47</f>
        <v>7030215</v>
      </c>
      <c r="O47" s="21"/>
      <c r="P47" s="24" t="s">
        <v>135</v>
      </c>
      <c r="Q47" s="25">
        <v>41.3</v>
      </c>
      <c r="R47" s="25">
        <v>15</v>
      </c>
      <c r="S47" s="70">
        <f>IF($N$7&gt;$R$47,(($N$7/$R$47)-1)*$S$24,0)</f>
        <v>3</v>
      </c>
      <c r="T47" s="26">
        <v>1219123</v>
      </c>
      <c r="U47" s="26">
        <f>$T$47*$S$47</f>
        <v>3657369</v>
      </c>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4" t="s">
        <v>126</v>
      </c>
      <c r="C48" s="285"/>
      <c r="D48" s="285"/>
      <c r="E48" s="285"/>
      <c r="F48" s="285"/>
      <c r="G48" s="27">
        <f>SUM($G$46:$G$47)</f>
        <v>23190696</v>
      </c>
      <c r="H48" s="28"/>
      <c r="I48" s="286" t="s">
        <v>126</v>
      </c>
      <c r="J48" s="287"/>
      <c r="K48" s="287"/>
      <c r="L48" s="287"/>
      <c r="M48" s="287"/>
      <c r="N48" s="29">
        <f>SUM($N$46:$N$47)</f>
        <v>22923375</v>
      </c>
      <c r="O48" s="28"/>
      <c r="P48" s="288" t="s">
        <v>126</v>
      </c>
      <c r="Q48" s="289"/>
      <c r="R48" s="289"/>
      <c r="S48" s="289"/>
      <c r="T48" s="289"/>
      <c r="U48" s="30">
        <f>SUM($U$46:$U$47)</f>
        <v>13637889</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71" t="s">
        <v>57</v>
      </c>
      <c r="C50" s="241" t="str">
        <f>CONCATENATE("ALTERNATIVA 1: ",$D$11)</f>
        <v>ALTERNATIVA 1: Sodio</v>
      </c>
      <c r="D50" s="241"/>
      <c r="E50" s="241"/>
      <c r="F50" s="241"/>
      <c r="G50" s="241"/>
      <c r="H50" s="35"/>
      <c r="I50" s="273" t="s">
        <v>57</v>
      </c>
      <c r="J50" s="244" t="str">
        <f>CONCATENATE("ALTERNATIVA 1: ",$D$13)</f>
        <v>ALTERNATIVA 1: CMH</v>
      </c>
      <c r="K50" s="244"/>
      <c r="L50" s="244"/>
      <c r="M50" s="244"/>
      <c r="N50" s="245"/>
      <c r="O50" s="35"/>
      <c r="P50" s="275" t="s">
        <v>57</v>
      </c>
      <c r="Q50" s="236" t="str">
        <f>CONCATENATE("ALTERNATIVA 3: ",$D$15)</f>
        <v>ALTERNATIVA 3: LED</v>
      </c>
      <c r="R50" s="237"/>
      <c r="S50" s="237"/>
      <c r="T50" s="237"/>
      <c r="U50" s="238"/>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290"/>
      <c r="C51" s="36" t="s">
        <v>30</v>
      </c>
      <c r="D51" s="36" t="s">
        <v>14</v>
      </c>
      <c r="E51" s="36" t="s">
        <v>76</v>
      </c>
      <c r="F51" s="36" t="s">
        <v>77</v>
      </c>
      <c r="G51" s="37" t="s">
        <v>11</v>
      </c>
      <c r="H51" s="18"/>
      <c r="I51" s="291"/>
      <c r="J51" s="38" t="s">
        <v>30</v>
      </c>
      <c r="K51" s="39" t="s">
        <v>14</v>
      </c>
      <c r="L51" s="39" t="s">
        <v>76</v>
      </c>
      <c r="M51" s="39" t="s">
        <v>77</v>
      </c>
      <c r="N51" s="40" t="s">
        <v>11</v>
      </c>
      <c r="O51" s="21"/>
      <c r="P51" s="292"/>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144</v>
      </c>
      <c r="C52" s="25" t="s">
        <v>37</v>
      </c>
      <c r="D52" s="25">
        <v>30</v>
      </c>
      <c r="E52" s="72">
        <f>IF($N$7&gt;$D$52,(($N$7/$D$52)-1)*$E$29,0)</f>
        <v>0</v>
      </c>
      <c r="F52" s="26">
        <v>788104</v>
      </c>
      <c r="G52" s="26">
        <f>$F$52*$E$52</f>
        <v>0</v>
      </c>
      <c r="H52" s="18"/>
      <c r="I52" s="24" t="s">
        <v>144</v>
      </c>
      <c r="J52" s="25" t="s">
        <v>37</v>
      </c>
      <c r="K52" s="25">
        <v>30</v>
      </c>
      <c r="L52" s="72">
        <f>IF($N$7&gt;$K$52,(($N$7/$K$52)-1)*$L$29,0)</f>
        <v>0</v>
      </c>
      <c r="M52" s="26">
        <v>788104</v>
      </c>
      <c r="N52" s="26">
        <f>$M$52*$L$52</f>
        <v>0</v>
      </c>
      <c r="O52" s="21"/>
      <c r="P52" s="24" t="s">
        <v>144</v>
      </c>
      <c r="Q52" s="25" t="s">
        <v>37</v>
      </c>
      <c r="R52" s="25">
        <v>30</v>
      </c>
      <c r="S52" s="72">
        <f>IF($N$7&gt;$R$52,(($N$7/$R$52)-1)*$S$29,0)</f>
        <v>0</v>
      </c>
      <c r="T52" s="26">
        <v>788104</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t="s">
        <v>142</v>
      </c>
      <c r="C53" s="25" t="s">
        <v>37</v>
      </c>
      <c r="D53" s="25">
        <v>30</v>
      </c>
      <c r="E53" s="72">
        <f>IF($N$7&gt;$D$53,(($N$7/$D$53)-1)*$E$30,0)</f>
        <v>0</v>
      </c>
      <c r="F53" s="26">
        <v>486390</v>
      </c>
      <c r="G53" s="26">
        <f>$F$53*$E$53</f>
        <v>0</v>
      </c>
      <c r="H53" s="18"/>
      <c r="I53" s="24" t="s">
        <v>142</v>
      </c>
      <c r="J53" s="25" t="s">
        <v>37</v>
      </c>
      <c r="K53" s="25">
        <v>30</v>
      </c>
      <c r="L53" s="72">
        <f>IF($N$7&gt;$K$53,(($N$7/$K$53)-1)*$L$30,0)</f>
        <v>0</v>
      </c>
      <c r="M53" s="26">
        <v>486390</v>
      </c>
      <c r="N53" s="26">
        <f>$M$53*$L$53</f>
        <v>0</v>
      </c>
      <c r="O53" s="21"/>
      <c r="P53" s="24" t="s">
        <v>142</v>
      </c>
      <c r="Q53" s="25" t="s">
        <v>37</v>
      </c>
      <c r="R53" s="25">
        <v>30</v>
      </c>
      <c r="S53" s="72">
        <f>IF($N$7&gt;$R$53,(($N$7/$R$53)-1)*$S$30,0)</f>
        <v>0</v>
      </c>
      <c r="T53" s="26">
        <v>486390</v>
      </c>
      <c r="U53" s="26">
        <f>$T$53*$S$53</f>
        <v>0</v>
      </c>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3" t="s">
        <v>126</v>
      </c>
      <c r="C54" s="294"/>
      <c r="D54" s="294"/>
      <c r="E54" s="294"/>
      <c r="F54" s="294"/>
      <c r="G54" s="43">
        <f>SUM($G$52:$G$53)</f>
        <v>0</v>
      </c>
      <c r="H54" s="28"/>
      <c r="I54" s="295" t="s">
        <v>126</v>
      </c>
      <c r="J54" s="296"/>
      <c r="K54" s="296"/>
      <c r="L54" s="296"/>
      <c r="M54" s="296"/>
      <c r="N54" s="44">
        <f>SUM($N$52:$N$53)</f>
        <v>0</v>
      </c>
      <c r="O54" s="28"/>
      <c r="P54" s="297" t="s">
        <v>126</v>
      </c>
      <c r="Q54" s="298"/>
      <c r="R54" s="298"/>
      <c r="S54" s="298"/>
      <c r="T54" s="298"/>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51" t="s">
        <v>58</v>
      </c>
      <c r="C56" s="253" t="str">
        <f>CONCATENATE("ALTERNATIVA 1: ",$D$11)</f>
        <v>ALTERNATIVA 1: Sodio</v>
      </c>
      <c r="D56" s="226"/>
      <c r="E56" s="226"/>
      <c r="F56" s="226"/>
      <c r="G56" s="254"/>
      <c r="H56" s="35"/>
      <c r="I56" s="255" t="s">
        <v>58</v>
      </c>
      <c r="J56" s="227" t="str">
        <f>CONCATENATE("ALTERNATIVA 1: ",$D$13)</f>
        <v>ALTERNATIVA 1: CMH</v>
      </c>
      <c r="K56" s="227"/>
      <c r="L56" s="227"/>
      <c r="M56" s="227"/>
      <c r="N56" s="227"/>
      <c r="O56" s="35"/>
      <c r="P56" s="257" t="s">
        <v>58</v>
      </c>
      <c r="Q56" s="219" t="str">
        <f>CONCATENATE("ALTERNATIVA 3: ",$D$15)</f>
        <v>ALTERNATIVA 3: LED</v>
      </c>
      <c r="R56" s="220"/>
      <c r="S56" s="220"/>
      <c r="T56" s="220"/>
      <c r="U56" s="221"/>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23"/>
      <c r="C57" s="46" t="s">
        <v>46</v>
      </c>
      <c r="D57" s="46" t="s">
        <v>14</v>
      </c>
      <c r="E57" s="46" t="s">
        <v>76</v>
      </c>
      <c r="F57" s="46" t="s">
        <v>77</v>
      </c>
      <c r="G57" s="47" t="s">
        <v>11</v>
      </c>
      <c r="H57" s="18"/>
      <c r="I57" s="324"/>
      <c r="J57" s="48" t="s">
        <v>46</v>
      </c>
      <c r="K57" s="49" t="s">
        <v>14</v>
      </c>
      <c r="L57" s="49" t="s">
        <v>76</v>
      </c>
      <c r="M57" s="49" t="s">
        <v>77</v>
      </c>
      <c r="N57" s="50" t="s">
        <v>11</v>
      </c>
      <c r="O57" s="21"/>
      <c r="P57" s="325"/>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152</v>
      </c>
      <c r="C58" s="25" t="s">
        <v>152</v>
      </c>
      <c r="D58" s="25">
        <v>30</v>
      </c>
      <c r="E58" s="25">
        <f>IF($N$7&gt;$D$58,(($N$7/$D$58)-1)*$E$35,0)</f>
        <v>0</v>
      </c>
      <c r="F58" s="26">
        <v>2371332</v>
      </c>
      <c r="G58" s="26">
        <f>$F$58*$E$58</f>
        <v>0</v>
      </c>
      <c r="H58" s="18"/>
      <c r="I58" s="24" t="s">
        <v>152</v>
      </c>
      <c r="J58" s="25" t="s">
        <v>152</v>
      </c>
      <c r="K58" s="25">
        <v>30</v>
      </c>
      <c r="L58" s="25">
        <f>IF($N$7&gt;$K$58,(($N$7/$K$58)-1)*$L$35,0)</f>
        <v>0</v>
      </c>
      <c r="M58" s="26">
        <v>2371332</v>
      </c>
      <c r="N58" s="26">
        <f>$M$58*$L$58</f>
        <v>0</v>
      </c>
      <c r="O58" s="21"/>
      <c r="P58" s="24" t="s">
        <v>152</v>
      </c>
      <c r="Q58" s="25" t="s">
        <v>152</v>
      </c>
      <c r="R58" s="25">
        <v>30</v>
      </c>
      <c r="S58" s="25">
        <f>IF($N$7&gt;$R$58,(($N$7/$R$58)-1)*$S$35,0)</f>
        <v>0</v>
      </c>
      <c r="T58" s="26">
        <v>2371332</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317" t="s">
        <v>126</v>
      </c>
      <c r="C60" s="318"/>
      <c r="D60" s="318"/>
      <c r="E60" s="318"/>
      <c r="F60" s="318"/>
      <c r="G60" s="53">
        <f>SUM($G$58:$G$59)</f>
        <v>0</v>
      </c>
      <c r="H60" s="28"/>
      <c r="I60" s="319" t="s">
        <v>126</v>
      </c>
      <c r="J60" s="320"/>
      <c r="K60" s="320"/>
      <c r="L60" s="320"/>
      <c r="M60" s="320"/>
      <c r="N60" s="54">
        <f>SUM($N$58:$N$59)</f>
        <v>0</v>
      </c>
      <c r="O60" s="28"/>
      <c r="P60" s="321" t="s">
        <v>126</v>
      </c>
      <c r="Q60" s="322"/>
      <c r="R60" s="322"/>
      <c r="S60" s="322"/>
      <c r="T60" s="32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59" t="s">
        <v>74</v>
      </c>
      <c r="C62" s="179" t="str">
        <f>CONCATENATE("ALTERNATIVA 1: ",$D$11)</f>
        <v>ALTERNATIVA 1: Sodio</v>
      </c>
      <c r="D62" s="179"/>
      <c r="E62" s="179"/>
      <c r="F62" s="179"/>
      <c r="G62" s="179"/>
      <c r="H62" s="15"/>
      <c r="I62" s="261" t="s">
        <v>74</v>
      </c>
      <c r="J62" s="180" t="str">
        <f>CONCATENATE("ALTERNATIVA 1: ",$D$13)</f>
        <v>ALTERNATIVA 1: CMH</v>
      </c>
      <c r="K62" s="180"/>
      <c r="L62" s="180"/>
      <c r="M62" s="180"/>
      <c r="N62" s="180"/>
      <c r="O62" s="15"/>
      <c r="P62" s="263" t="s">
        <v>74</v>
      </c>
      <c r="Q62" s="183" t="str">
        <f>CONCATENATE("ALTERNATIVA 3: ",$D$15)</f>
        <v>ALTERNATIVA 3: LED</v>
      </c>
      <c r="R62" s="184"/>
      <c r="S62" s="184"/>
      <c r="T62" s="184"/>
      <c r="U62" s="181"/>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314"/>
      <c r="C63" s="16" t="s">
        <v>72</v>
      </c>
      <c r="D63" s="16" t="s">
        <v>75</v>
      </c>
      <c r="E63" s="16" t="s">
        <v>9</v>
      </c>
      <c r="F63" s="84" t="s">
        <v>73</v>
      </c>
      <c r="G63" s="17" t="s">
        <v>11</v>
      </c>
      <c r="H63" s="18"/>
      <c r="I63" s="315"/>
      <c r="J63" s="19" t="s">
        <v>72</v>
      </c>
      <c r="K63" s="19" t="s">
        <v>75</v>
      </c>
      <c r="L63" s="19" t="s">
        <v>9</v>
      </c>
      <c r="M63" s="13" t="s">
        <v>73</v>
      </c>
      <c r="N63" s="57" t="s">
        <v>11</v>
      </c>
      <c r="O63" s="21"/>
      <c r="P63" s="316"/>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129</v>
      </c>
      <c r="C64" s="25">
        <v>268.7</v>
      </c>
      <c r="D64" s="25">
        <v>12</v>
      </c>
      <c r="E64" s="25">
        <v>5</v>
      </c>
      <c r="F64" s="26">
        <f>$C$64*$D$64*(365/1000)*$N$9</f>
        <v>1059215.3999999999</v>
      </c>
      <c r="G64" s="26">
        <f>$F$64*$E$64</f>
        <v>5296077</v>
      </c>
      <c r="H64" s="18"/>
      <c r="I64" s="24" t="s">
        <v>133</v>
      </c>
      <c r="J64" s="25">
        <v>268.7</v>
      </c>
      <c r="K64" s="25">
        <v>12</v>
      </c>
      <c r="L64" s="25">
        <v>5</v>
      </c>
      <c r="M64" s="26">
        <f>$J$64*$K$64*(365/1000)*$N$9</f>
        <v>1059215.3999999999</v>
      </c>
      <c r="N64" s="26">
        <f>$M$64*$L$64</f>
        <v>5296077</v>
      </c>
      <c r="O64" s="21"/>
      <c r="P64" s="24" t="s">
        <v>140</v>
      </c>
      <c r="Q64" s="25">
        <v>185</v>
      </c>
      <c r="R64" s="25">
        <v>12</v>
      </c>
      <c r="S64" s="25">
        <v>5</v>
      </c>
      <c r="T64" s="26">
        <f>$Q$64*$R$64*(365/1000)*$N$9</f>
        <v>729270</v>
      </c>
      <c r="U64" s="26">
        <f>$T$64*$S$64</f>
        <v>3646350</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t="s">
        <v>127</v>
      </c>
      <c r="C65" s="25">
        <v>78.05</v>
      </c>
      <c r="D65" s="25">
        <v>12</v>
      </c>
      <c r="E65" s="25">
        <v>3</v>
      </c>
      <c r="F65" s="26">
        <f>$C$65*$D$65*(365/1000)*$N$9</f>
        <v>307673.09999999998</v>
      </c>
      <c r="G65" s="26">
        <f>$F$65*$E$65</f>
        <v>923019.29999999993</v>
      </c>
      <c r="H65" s="18"/>
      <c r="I65" s="24" t="s">
        <v>131</v>
      </c>
      <c r="J65" s="25">
        <v>78.05</v>
      </c>
      <c r="K65" s="25">
        <v>12</v>
      </c>
      <c r="L65" s="25">
        <v>3</v>
      </c>
      <c r="M65" s="26">
        <f>$J$65*$K$65*(365/1000)*$N$9</f>
        <v>307673.09999999998</v>
      </c>
      <c r="N65" s="26">
        <f>$M$65*$L$65</f>
        <v>923019.29999999993</v>
      </c>
      <c r="O65" s="21"/>
      <c r="P65" s="24" t="s">
        <v>135</v>
      </c>
      <c r="Q65" s="25">
        <v>41.3</v>
      </c>
      <c r="R65" s="25">
        <v>12</v>
      </c>
      <c r="S65" s="25">
        <v>3</v>
      </c>
      <c r="T65" s="26">
        <f>$Q$65*$R$65*(365/1000)*$N$9</f>
        <v>162804.59999999998</v>
      </c>
      <c r="U65" s="26">
        <f>$T$65*$S$65</f>
        <v>488413.79999999993</v>
      </c>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4" t="s">
        <v>53</v>
      </c>
      <c r="C66" s="285"/>
      <c r="D66" s="285"/>
      <c r="E66" s="285"/>
      <c r="F66" s="285"/>
      <c r="G66" s="71">
        <f>SUM($G$64:$G$65)</f>
        <v>6219096.2999999998</v>
      </c>
      <c r="H66" s="28"/>
      <c r="I66" s="286" t="s">
        <v>126</v>
      </c>
      <c r="J66" s="287"/>
      <c r="K66" s="287"/>
      <c r="L66" s="287"/>
      <c r="M66" s="287"/>
      <c r="N66" s="29">
        <f>SUM($N$64:$N$65)</f>
        <v>6219096.2999999998</v>
      </c>
      <c r="O66" s="28"/>
      <c r="P66" s="288" t="s">
        <v>126</v>
      </c>
      <c r="Q66" s="289"/>
      <c r="R66" s="289"/>
      <c r="S66" s="289"/>
      <c r="T66" s="289"/>
      <c r="U66" s="30">
        <f>SUM($U$64:$U$65)</f>
        <v>4134763.8</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4" t="s">
        <v>109</v>
      </c>
      <c r="C68" s="285"/>
      <c r="D68" s="285"/>
      <c r="E68" s="285"/>
      <c r="F68" s="285"/>
      <c r="G68" s="86">
        <f>SUMPRODUCT($C$64:$C$65,$E$64:$E$65)/1000</f>
        <v>1.57765</v>
      </c>
      <c r="H68" s="11"/>
      <c r="I68" s="286" t="s">
        <v>109</v>
      </c>
      <c r="J68" s="287"/>
      <c r="K68" s="287"/>
      <c r="L68" s="287"/>
      <c r="M68" s="287"/>
      <c r="N68" s="87">
        <f>SUMPRODUCT($J$64:$J$65,$L$64:$L$65)/1000</f>
        <v>1.57765</v>
      </c>
      <c r="O68" s="11"/>
      <c r="P68" s="288" t="s">
        <v>109</v>
      </c>
      <c r="Q68" s="289"/>
      <c r="R68" s="289"/>
      <c r="S68" s="289"/>
      <c r="T68" s="289"/>
      <c r="U68" s="88">
        <f>SUMPRODUCT($Q$64:$Q$65,$S$64:$S$65)/1000</f>
        <v>1.0489000000000002</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4" t="s">
        <v>111</v>
      </c>
      <c r="C69" s="285"/>
      <c r="D69" s="285"/>
      <c r="E69" s="285"/>
      <c r="F69" s="285"/>
      <c r="G69" s="86">
        <f>SUMPRODUCT($C$64:$C$65,$D$64:$D$65,$E$64:$E$65)/1000</f>
        <v>18.931799999999999</v>
      </c>
      <c r="H69" s="11"/>
      <c r="I69" s="286" t="s">
        <v>111</v>
      </c>
      <c r="J69" s="287"/>
      <c r="K69" s="287"/>
      <c r="L69" s="287"/>
      <c r="M69" s="287"/>
      <c r="N69" s="87">
        <f>SUMPRODUCT($J$64:$J$65,$K$64:$K$65,$L$64:$L$65)/1000</f>
        <v>18.931799999999999</v>
      </c>
      <c r="O69" s="11"/>
      <c r="P69" s="288" t="s">
        <v>111</v>
      </c>
      <c r="Q69" s="289"/>
      <c r="R69" s="289"/>
      <c r="S69" s="289"/>
      <c r="T69" s="289"/>
      <c r="U69" s="88">
        <f>SUMPRODUCT($Q$64:$Q$65,$R$64:$R$65,$S$64:$S$65)/1000</f>
        <v>12.586799999999998</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265" t="s">
        <v>69</v>
      </c>
      <c r="C71" s="266"/>
      <c r="D71" s="266"/>
      <c r="E71" s="266"/>
      <c r="F71" s="266"/>
      <c r="G71" s="59">
        <f>+G48+G54+G60+G66</f>
        <v>29409792.300000001</v>
      </c>
      <c r="H71" s="11"/>
      <c r="I71" s="267" t="s">
        <v>70</v>
      </c>
      <c r="J71" s="268"/>
      <c r="K71" s="268"/>
      <c r="L71" s="268"/>
      <c r="M71" s="268"/>
      <c r="N71" s="60">
        <f>+N66+N60+N54+N48</f>
        <v>29142471.300000001</v>
      </c>
      <c r="O71" s="11"/>
      <c r="P71" s="269" t="s">
        <v>71</v>
      </c>
      <c r="Q71" s="270"/>
      <c r="R71" s="270"/>
      <c r="S71" s="270"/>
      <c r="T71" s="270"/>
      <c r="U71" s="58">
        <f>+U66+U60+U54+U48</f>
        <v>17772652.800000001</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2">
    <mergeCell ref="B1:U1"/>
    <mergeCell ref="B3:C3"/>
    <mergeCell ref="D3:F3"/>
    <mergeCell ref="I3:J3"/>
    <mergeCell ref="L3:N3"/>
    <mergeCell ref="P3:Q3"/>
    <mergeCell ref="B9:C9"/>
    <mergeCell ref="D9:F9"/>
    <mergeCell ref="L9:M9"/>
    <mergeCell ref="P9:Q9"/>
    <mergeCell ref="B11:C11"/>
    <mergeCell ref="D11:F11"/>
    <mergeCell ref="B5:C5"/>
    <mergeCell ref="D5:F5"/>
    <mergeCell ref="I5:J5"/>
    <mergeCell ref="L5:M5"/>
    <mergeCell ref="P5:Q5"/>
    <mergeCell ref="P6:Q8"/>
    <mergeCell ref="B7:C7"/>
    <mergeCell ref="D7:F7"/>
    <mergeCell ref="L7:M7"/>
    <mergeCell ref="B21:B22"/>
    <mergeCell ref="C21:G21"/>
    <mergeCell ref="I21:I22"/>
    <mergeCell ref="J21:N21"/>
    <mergeCell ref="P21:P22"/>
    <mergeCell ref="Q21:U21"/>
    <mergeCell ref="B13:C13"/>
    <mergeCell ref="D13:F13"/>
    <mergeCell ref="B15:C15"/>
    <mergeCell ref="D15:F15"/>
    <mergeCell ref="B19:U19"/>
    <mergeCell ref="B25:F25"/>
    <mergeCell ref="I25:M25"/>
    <mergeCell ref="P25:T25"/>
    <mergeCell ref="B27:B28"/>
    <mergeCell ref="C27:G27"/>
    <mergeCell ref="I27:I28"/>
    <mergeCell ref="J27:N27"/>
    <mergeCell ref="P27:P28"/>
    <mergeCell ref="Q27:U27"/>
    <mergeCell ref="B31:F31"/>
    <mergeCell ref="I31:M31"/>
    <mergeCell ref="P31:T31"/>
    <mergeCell ref="B33:B34"/>
    <mergeCell ref="C33:G33"/>
    <mergeCell ref="I33:I34"/>
    <mergeCell ref="J33:N33"/>
    <mergeCell ref="P33:P34"/>
    <mergeCell ref="Q33:U33"/>
    <mergeCell ref="B42:U42"/>
    <mergeCell ref="B44:B45"/>
    <mergeCell ref="C44:G44"/>
    <mergeCell ref="I44:I45"/>
    <mergeCell ref="J44:N44"/>
    <mergeCell ref="P44:P45"/>
    <mergeCell ref="Q44:U44"/>
    <mergeCell ref="B37:F37"/>
    <mergeCell ref="I37:M37"/>
    <mergeCell ref="P37:T37"/>
    <mergeCell ref="B39:F39"/>
    <mergeCell ref="I39:M39"/>
    <mergeCell ref="P39:T39"/>
    <mergeCell ref="B48:F48"/>
    <mergeCell ref="I48:M48"/>
    <mergeCell ref="P48:T48"/>
    <mergeCell ref="B50:B51"/>
    <mergeCell ref="C50:G50"/>
    <mergeCell ref="I50:I51"/>
    <mergeCell ref="J50:N50"/>
    <mergeCell ref="P50:P51"/>
    <mergeCell ref="Q50:U50"/>
    <mergeCell ref="B54:F54"/>
    <mergeCell ref="I54:M54"/>
    <mergeCell ref="P54:T54"/>
    <mergeCell ref="B56:B57"/>
    <mergeCell ref="C56:G56"/>
    <mergeCell ref="I56:I57"/>
    <mergeCell ref="J56:N56"/>
    <mergeCell ref="P56:P57"/>
    <mergeCell ref="Q56:U56"/>
    <mergeCell ref="B60:F60"/>
    <mergeCell ref="I60:M60"/>
    <mergeCell ref="P60:T60"/>
    <mergeCell ref="B62:B63"/>
    <mergeCell ref="C62:G62"/>
    <mergeCell ref="I62:I63"/>
    <mergeCell ref="J62:N62"/>
    <mergeCell ref="P62:P63"/>
    <mergeCell ref="Q62:U62"/>
    <mergeCell ref="B69:F69"/>
    <mergeCell ref="I69:M69"/>
    <mergeCell ref="P69:T69"/>
    <mergeCell ref="B71:F71"/>
    <mergeCell ref="I71:M71"/>
    <mergeCell ref="P71:T71"/>
    <mergeCell ref="B66:F66"/>
    <mergeCell ref="I66:M66"/>
    <mergeCell ref="P66:T66"/>
    <mergeCell ref="B68:F68"/>
    <mergeCell ref="I68:M68"/>
    <mergeCell ref="P68:T68"/>
  </mergeCells>
  <dataValidations count="3">
    <dataValidation type="decimal" operator="greaterThan" allowBlank="1" showInputMessage="1" showErrorMessage="1" sqref="I5:J5" xr:uid="{005B6701-EA0F-44DC-BC17-78A3829D1FBD}">
      <formula1>0</formula1>
    </dataValidation>
    <dataValidation type="whole" allowBlank="1" showInputMessage="1" showErrorMessage="1" sqref="R7 N7" xr:uid="{7574B01B-731B-4BEE-B6C3-BC6AC94D876B}">
      <formula1>1</formula1>
      <formula2>100</formula2>
    </dataValidation>
    <dataValidation type="decimal" allowBlank="1" showInputMessage="1" showErrorMessage="1" sqref="R5" xr:uid="{793CC2BA-CA16-424B-B75D-2EB617651E40}">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89530944-C373-4D9A-BD4D-4487A072ED58}">
          <x14:formula1>
            <xm:f>Hoja11!$K$1:$K$13</xm:f>
          </x14:formula1>
          <xm:sqref>D7:F7</xm:sqref>
        </x14:dataValidation>
        <x14:dataValidation type="list" xr:uid="{8F523C05-DA4A-495E-91FF-B3235B5EDB73}">
          <x14:formula1>
            <xm:f>Hoja11!$R$2:$R$5</xm:f>
          </x14:formula1>
          <xm:sqref>N5</xm:sqref>
        </x14:dataValidation>
        <x14:dataValidation type="list" allowBlank="1" showInputMessage="1" showErrorMessage="1" xr:uid="{51BB6701-CEF1-4AB6-AC79-E5C02119F43B}">
          <x14:formula1>
            <xm:f>Hoja11!$P$2:$P$5</xm:f>
          </x14:formula1>
          <xm:sqref>D9:F9</xm:sqref>
        </x14:dataValidation>
        <x14:dataValidation type="list" allowBlank="1" showInputMessage="1" showErrorMessage="1" xr:uid="{E8FB53A8-91BD-47E7-900E-516B1C0493D5}">
          <x14:formula1>
            <xm:f>Hoja11!$F$2:$F$4</xm:f>
          </x14:formula1>
          <xm:sqref>C12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3CFAC-4567-4DE2-9DE9-588FC8623082}">
  <sheetPr codeName="Hoja13">
    <tabColor rgb="FF00B050"/>
  </sheetPr>
  <dimension ref="A1"/>
  <sheetViews>
    <sheetView topLeftCell="A7" workbookViewId="0">
      <selection activeCell="O29" sqref="O29"/>
    </sheetView>
  </sheetViews>
  <sheetFormatPr defaultColWidth="11.42578125" defaultRowHeight="15" x14ac:dyDescent="0.25"/>
  <cols>
    <col min="1" max="16384" width="11.42578125" style="166"/>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7AAD-F3A7-4508-AFBF-A1FFAE34EAF5}">
  <sheetPr codeName="Hoja7"/>
  <dimension ref="A2:AS35"/>
  <sheetViews>
    <sheetView topLeftCell="W1" zoomScaleNormal="100" workbookViewId="0">
      <selection activeCell="AI19" sqref="AI19"/>
    </sheetView>
  </sheetViews>
  <sheetFormatPr defaultColWidth="5.7109375" defaultRowHeight="10.5" x14ac:dyDescent="0.25"/>
  <cols>
    <col min="1" max="1" width="19.28515625" style="139" bestFit="1" customWidth="1"/>
    <col min="2" max="2" width="7.42578125" style="139" bestFit="1" customWidth="1"/>
    <col min="3" max="3" width="11.42578125" style="139" bestFit="1" customWidth="1"/>
    <col min="4" max="4" width="13.7109375" style="139" bestFit="1" customWidth="1"/>
    <col min="5" max="5" width="12.28515625" style="139" bestFit="1" customWidth="1"/>
    <col min="6" max="11" width="11.42578125" style="139" bestFit="1" customWidth="1"/>
    <col min="12" max="12" width="12.5703125" style="139" bestFit="1" customWidth="1"/>
    <col min="13" max="19" width="11.42578125" style="139" bestFit="1" customWidth="1"/>
    <col min="20" max="20" width="13.42578125" style="139" bestFit="1" customWidth="1"/>
    <col min="21" max="34" width="11.42578125" style="139" bestFit="1" customWidth="1"/>
    <col min="35" max="35" width="12.28515625" style="139" bestFit="1" customWidth="1"/>
    <col min="36" max="41" width="5.7109375" style="139" bestFit="1" customWidth="1"/>
    <col min="42" max="42" width="11.42578125" style="139" bestFit="1" customWidth="1"/>
    <col min="43" max="45" width="5.7109375" style="139" bestFit="1" customWidth="1"/>
    <col min="46" max="16384" width="5.7109375" style="139"/>
  </cols>
  <sheetData>
    <row r="2" spans="1:45" x14ac:dyDescent="0.25">
      <c r="A2" s="139" t="s">
        <v>200</v>
      </c>
      <c r="B2" s="139">
        <f>TASA</f>
        <v>0.12089999999999999</v>
      </c>
    </row>
    <row r="3" spans="1:45" x14ac:dyDescent="0.25">
      <c r="A3" s="139" t="s">
        <v>201</v>
      </c>
      <c r="B3" s="139">
        <f>EVALUA</f>
        <v>17.5</v>
      </c>
      <c r="E3" s="330" t="s">
        <v>193</v>
      </c>
      <c r="F3" s="330"/>
      <c r="G3" s="330"/>
      <c r="H3" s="330"/>
      <c r="I3" s="330"/>
      <c r="J3" s="330"/>
      <c r="K3" s="330"/>
      <c r="L3" s="330"/>
      <c r="M3" s="330"/>
      <c r="N3" s="330"/>
      <c r="O3" s="330"/>
      <c r="P3" s="330"/>
      <c r="Q3" s="330"/>
      <c r="R3" s="330"/>
      <c r="S3" s="330"/>
      <c r="T3" s="330"/>
      <c r="U3" s="330"/>
      <c r="V3" s="330"/>
      <c r="W3" s="330"/>
      <c r="X3" s="330"/>
      <c r="Y3" s="330"/>
      <c r="Z3" s="330"/>
      <c r="AA3" s="330"/>
      <c r="AB3" s="330"/>
      <c r="AC3" s="330"/>
      <c r="AD3" s="330"/>
      <c r="AE3" s="330"/>
      <c r="AF3" s="330"/>
      <c r="AG3" s="330"/>
      <c r="AH3" s="330"/>
      <c r="AI3" s="330"/>
    </row>
    <row r="4" spans="1:45" x14ac:dyDescent="0.25">
      <c r="A4" s="142" t="str">
        <f>Cálculo!C21</f>
        <v>ALTERNATIVA 1: SODIO</v>
      </c>
      <c r="E4" s="145">
        <v>0</v>
      </c>
      <c r="F4" s="145">
        <f>IF(E4&lt;$B$3,E4+1,"")</f>
        <v>1</v>
      </c>
      <c r="G4" s="145">
        <f t="shared" ref="G4:AS4" si="0">IF(F4&lt;$B$3,F4+1,"")</f>
        <v>2</v>
      </c>
      <c r="H4" s="145">
        <f t="shared" si="0"/>
        <v>3</v>
      </c>
      <c r="I4" s="145">
        <f t="shared" si="0"/>
        <v>4</v>
      </c>
      <c r="J4" s="145">
        <f t="shared" si="0"/>
        <v>5</v>
      </c>
      <c r="K4" s="145">
        <f t="shared" si="0"/>
        <v>6</v>
      </c>
      <c r="L4" s="145">
        <f t="shared" si="0"/>
        <v>7</v>
      </c>
      <c r="M4" s="145">
        <f t="shared" si="0"/>
        <v>8</v>
      </c>
      <c r="N4" s="145">
        <f t="shared" si="0"/>
        <v>9</v>
      </c>
      <c r="O4" s="145">
        <f t="shared" si="0"/>
        <v>10</v>
      </c>
      <c r="P4" s="145">
        <f t="shared" si="0"/>
        <v>11</v>
      </c>
      <c r="Q4" s="145">
        <f t="shared" si="0"/>
        <v>12</v>
      </c>
      <c r="R4" s="145">
        <f t="shared" si="0"/>
        <v>13</v>
      </c>
      <c r="S4" s="145">
        <f t="shared" si="0"/>
        <v>14</v>
      </c>
      <c r="T4" s="145">
        <f t="shared" si="0"/>
        <v>15</v>
      </c>
      <c r="U4" s="145">
        <f t="shared" si="0"/>
        <v>16</v>
      </c>
      <c r="V4" s="145">
        <f t="shared" si="0"/>
        <v>17</v>
      </c>
      <c r="W4" s="145">
        <f t="shared" si="0"/>
        <v>18</v>
      </c>
      <c r="X4" s="145" t="str">
        <f t="shared" si="0"/>
        <v/>
      </c>
      <c r="Y4" s="145" t="str">
        <f t="shared" si="0"/>
        <v/>
      </c>
      <c r="Z4" s="145" t="str">
        <f t="shared" si="0"/>
        <v/>
      </c>
      <c r="AA4" s="145" t="str">
        <f t="shared" si="0"/>
        <v/>
      </c>
      <c r="AB4" s="145" t="str">
        <f t="shared" si="0"/>
        <v/>
      </c>
      <c r="AC4" s="145" t="str">
        <f t="shared" si="0"/>
        <v/>
      </c>
      <c r="AD4" s="145" t="str">
        <f t="shared" si="0"/>
        <v/>
      </c>
      <c r="AE4" s="145" t="str">
        <f t="shared" si="0"/>
        <v/>
      </c>
      <c r="AF4" s="145" t="str">
        <f t="shared" si="0"/>
        <v/>
      </c>
      <c r="AG4" s="145" t="str">
        <f t="shared" si="0"/>
        <v/>
      </c>
      <c r="AH4" s="145" t="str">
        <f t="shared" si="0"/>
        <v/>
      </c>
      <c r="AI4" s="145" t="str">
        <f t="shared" si="0"/>
        <v/>
      </c>
      <c r="AJ4" s="145" t="str">
        <f t="shared" si="0"/>
        <v/>
      </c>
      <c r="AK4" s="145" t="str">
        <f t="shared" si="0"/>
        <v/>
      </c>
      <c r="AL4" s="145" t="str">
        <f t="shared" si="0"/>
        <v/>
      </c>
      <c r="AM4" s="145" t="str">
        <f t="shared" si="0"/>
        <v/>
      </c>
      <c r="AN4" s="145" t="str">
        <f t="shared" si="0"/>
        <v/>
      </c>
      <c r="AO4" s="145" t="str">
        <f t="shared" si="0"/>
        <v/>
      </c>
      <c r="AP4" s="145" t="str">
        <f t="shared" si="0"/>
        <v/>
      </c>
      <c r="AQ4" s="145" t="str">
        <f t="shared" si="0"/>
        <v/>
      </c>
      <c r="AR4" s="145" t="str">
        <f t="shared" si="0"/>
        <v/>
      </c>
      <c r="AS4" s="145" t="str">
        <f t="shared" si="0"/>
        <v/>
      </c>
    </row>
    <row r="5" spans="1:45" x14ac:dyDescent="0.25">
      <c r="A5" s="139" t="s">
        <v>204</v>
      </c>
      <c r="B5" s="139" t="s">
        <v>194</v>
      </c>
      <c r="D5" s="140">
        <f>SUM(E5:AI5)</f>
        <v>15353222</v>
      </c>
      <c r="E5" s="140">
        <f>Cálculo!G39</f>
        <v>15353222</v>
      </c>
    </row>
    <row r="6" spans="1:45" x14ac:dyDescent="0.25">
      <c r="B6" s="139" t="s">
        <v>195</v>
      </c>
      <c r="C6" s="141">
        <f>Cálculo!G66</f>
        <v>3076731</v>
      </c>
      <c r="D6" s="143">
        <f>SUM(E6:AS6)</f>
        <v>52304427</v>
      </c>
      <c r="F6" s="141">
        <f>IF(F4&lt;=$B$3,$C$6,0)</f>
        <v>3076731</v>
      </c>
      <c r="G6" s="141">
        <f t="shared" ref="G6:AS6" si="1">IF(G4&lt;=$B$3,$C$6,0)</f>
        <v>3076731</v>
      </c>
      <c r="H6" s="141">
        <f t="shared" si="1"/>
        <v>3076731</v>
      </c>
      <c r="I6" s="141">
        <f t="shared" si="1"/>
        <v>3076731</v>
      </c>
      <c r="J6" s="141">
        <f t="shared" si="1"/>
        <v>3076731</v>
      </c>
      <c r="K6" s="141">
        <f t="shared" si="1"/>
        <v>3076731</v>
      </c>
      <c r="L6" s="141">
        <f t="shared" si="1"/>
        <v>3076731</v>
      </c>
      <c r="M6" s="141">
        <f t="shared" si="1"/>
        <v>3076731</v>
      </c>
      <c r="N6" s="141">
        <f t="shared" si="1"/>
        <v>3076731</v>
      </c>
      <c r="O6" s="141">
        <f t="shared" si="1"/>
        <v>3076731</v>
      </c>
      <c r="P6" s="141">
        <f t="shared" si="1"/>
        <v>3076731</v>
      </c>
      <c r="Q6" s="141">
        <f t="shared" si="1"/>
        <v>3076731</v>
      </c>
      <c r="R6" s="141">
        <f t="shared" si="1"/>
        <v>3076731</v>
      </c>
      <c r="S6" s="141">
        <f t="shared" si="1"/>
        <v>3076731</v>
      </c>
      <c r="T6" s="141">
        <f t="shared" si="1"/>
        <v>3076731</v>
      </c>
      <c r="U6" s="141">
        <f t="shared" si="1"/>
        <v>3076731</v>
      </c>
      <c r="V6" s="141">
        <f t="shared" si="1"/>
        <v>3076731</v>
      </c>
      <c r="W6" s="141">
        <f t="shared" si="1"/>
        <v>0</v>
      </c>
      <c r="X6" s="141">
        <f t="shared" si="1"/>
        <v>0</v>
      </c>
      <c r="Y6" s="141">
        <f t="shared" si="1"/>
        <v>0</v>
      </c>
      <c r="Z6" s="141">
        <f t="shared" si="1"/>
        <v>0</v>
      </c>
      <c r="AA6" s="141">
        <f t="shared" si="1"/>
        <v>0</v>
      </c>
      <c r="AB6" s="141">
        <f t="shared" si="1"/>
        <v>0</v>
      </c>
      <c r="AC6" s="141">
        <f t="shared" si="1"/>
        <v>0</v>
      </c>
      <c r="AD6" s="141">
        <f t="shared" si="1"/>
        <v>0</v>
      </c>
      <c r="AE6" s="141">
        <f t="shared" si="1"/>
        <v>0</v>
      </c>
      <c r="AF6" s="141">
        <f t="shared" si="1"/>
        <v>0</v>
      </c>
      <c r="AG6" s="141">
        <f t="shared" si="1"/>
        <v>0</v>
      </c>
      <c r="AH6" s="141">
        <f t="shared" si="1"/>
        <v>0</v>
      </c>
      <c r="AI6" s="141">
        <f t="shared" si="1"/>
        <v>0</v>
      </c>
      <c r="AJ6" s="141">
        <f t="shared" si="1"/>
        <v>0</v>
      </c>
      <c r="AK6" s="141">
        <f t="shared" si="1"/>
        <v>0</v>
      </c>
      <c r="AL6" s="141">
        <f t="shared" si="1"/>
        <v>0</v>
      </c>
      <c r="AM6" s="141">
        <f t="shared" si="1"/>
        <v>0</v>
      </c>
      <c r="AN6" s="141">
        <f t="shared" si="1"/>
        <v>0</v>
      </c>
      <c r="AO6" s="141">
        <f t="shared" si="1"/>
        <v>0</v>
      </c>
      <c r="AP6" s="141">
        <f t="shared" si="1"/>
        <v>0</v>
      </c>
      <c r="AQ6" s="141">
        <f t="shared" si="1"/>
        <v>0</v>
      </c>
      <c r="AR6" s="141">
        <f t="shared" si="1"/>
        <v>0</v>
      </c>
      <c r="AS6" s="141">
        <f t="shared" si="1"/>
        <v>0</v>
      </c>
    </row>
    <row r="7" spans="1:45" ht="10.5" customHeight="1" x14ac:dyDescent="0.25">
      <c r="B7" s="139" t="s">
        <v>196</v>
      </c>
      <c r="D7" s="143">
        <f>SUM(E7:AS7)</f>
        <v>40589950</v>
      </c>
      <c r="E7" s="156"/>
      <c r="F7" s="156"/>
      <c r="G7" s="156"/>
      <c r="H7" s="156"/>
      <c r="I7" s="156"/>
      <c r="J7" s="156"/>
      <c r="K7" s="156"/>
      <c r="L7" s="157">
        <v>8117990</v>
      </c>
      <c r="M7" s="156"/>
      <c r="N7" s="156"/>
      <c r="O7" s="156"/>
      <c r="P7" s="156"/>
      <c r="Q7" s="156"/>
      <c r="R7" s="156"/>
      <c r="S7" s="156"/>
      <c r="T7" s="157">
        <v>8117990</v>
      </c>
      <c r="U7" s="156"/>
      <c r="V7" s="156"/>
      <c r="W7" s="156"/>
      <c r="X7" s="156"/>
      <c r="Y7" s="156"/>
      <c r="Z7" s="158"/>
      <c r="AA7" s="156">
        <v>8117990</v>
      </c>
      <c r="AB7" s="156"/>
      <c r="AC7" s="156"/>
      <c r="AD7" s="156"/>
      <c r="AE7" s="156"/>
      <c r="AF7" s="156"/>
      <c r="AG7" s="156"/>
      <c r="AH7" s="156"/>
      <c r="AI7" s="156">
        <v>8117990</v>
      </c>
      <c r="AJ7" s="156"/>
      <c r="AK7" s="156"/>
      <c r="AL7" s="156"/>
      <c r="AM7" s="156"/>
      <c r="AN7" s="156"/>
      <c r="AO7" s="156"/>
      <c r="AP7" s="156">
        <v>8117990</v>
      </c>
      <c r="AQ7" s="156"/>
      <c r="AR7" s="156"/>
      <c r="AS7" s="156"/>
    </row>
    <row r="8" spans="1:45" x14ac:dyDescent="0.25">
      <c r="B8" s="139" t="s">
        <v>197</v>
      </c>
      <c r="D8" s="143">
        <f>SUM(E8:AS8)</f>
        <v>7235232</v>
      </c>
      <c r="E8" s="156"/>
      <c r="F8" s="156"/>
      <c r="G8" s="156"/>
      <c r="H8" s="156"/>
      <c r="I8" s="156"/>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v>7235232</v>
      </c>
      <c r="AJ8" s="156"/>
      <c r="AK8" s="156"/>
      <c r="AL8" s="156"/>
      <c r="AM8" s="156"/>
      <c r="AN8" s="156"/>
      <c r="AO8" s="156"/>
      <c r="AP8" s="156"/>
      <c r="AQ8" s="156"/>
      <c r="AR8" s="156"/>
      <c r="AS8" s="156"/>
    </row>
    <row r="9" spans="1:45" ht="10.5" customHeight="1" x14ac:dyDescent="0.25">
      <c r="B9" s="139" t="s">
        <v>198</v>
      </c>
      <c r="D9" s="143">
        <f>SUM(E9:AS9)</f>
        <v>0</v>
      </c>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row>
    <row r="10" spans="1:45" x14ac:dyDescent="0.25">
      <c r="B10" s="139" t="s">
        <v>199</v>
      </c>
      <c r="D10" s="143">
        <f>SUM(E10:AS10)</f>
        <v>115482831</v>
      </c>
      <c r="E10" s="140">
        <f>SUM(E5:E9)</f>
        <v>15353222</v>
      </c>
      <c r="F10" s="140">
        <f t="shared" ref="F10:AS10" si="2">SUM(F5:F9)</f>
        <v>3076731</v>
      </c>
      <c r="G10" s="140">
        <f t="shared" si="2"/>
        <v>3076731</v>
      </c>
      <c r="H10" s="140">
        <f t="shared" si="2"/>
        <v>3076731</v>
      </c>
      <c r="I10" s="140">
        <f t="shared" si="2"/>
        <v>3076731</v>
      </c>
      <c r="J10" s="140">
        <f t="shared" si="2"/>
        <v>3076731</v>
      </c>
      <c r="K10" s="140">
        <f t="shared" si="2"/>
        <v>3076731</v>
      </c>
      <c r="L10" s="140">
        <f t="shared" si="2"/>
        <v>11194721</v>
      </c>
      <c r="M10" s="140">
        <f t="shared" si="2"/>
        <v>3076731</v>
      </c>
      <c r="N10" s="140">
        <f t="shared" si="2"/>
        <v>3076731</v>
      </c>
      <c r="O10" s="140">
        <f t="shared" si="2"/>
        <v>3076731</v>
      </c>
      <c r="P10" s="140">
        <f t="shared" si="2"/>
        <v>3076731</v>
      </c>
      <c r="Q10" s="140">
        <f t="shared" si="2"/>
        <v>3076731</v>
      </c>
      <c r="R10" s="140">
        <f t="shared" si="2"/>
        <v>3076731</v>
      </c>
      <c r="S10" s="140">
        <f t="shared" si="2"/>
        <v>3076731</v>
      </c>
      <c r="T10" s="140">
        <f t="shared" si="2"/>
        <v>11194721</v>
      </c>
      <c r="U10" s="140">
        <f t="shared" si="2"/>
        <v>3076731</v>
      </c>
      <c r="V10" s="140">
        <f t="shared" si="2"/>
        <v>3076731</v>
      </c>
      <c r="W10" s="140">
        <f t="shared" si="2"/>
        <v>0</v>
      </c>
      <c r="X10" s="140">
        <f t="shared" si="2"/>
        <v>0</v>
      </c>
      <c r="Y10" s="140">
        <f t="shared" si="2"/>
        <v>0</v>
      </c>
      <c r="Z10" s="140">
        <f t="shared" si="2"/>
        <v>0</v>
      </c>
      <c r="AA10" s="140">
        <f t="shared" si="2"/>
        <v>8117990</v>
      </c>
      <c r="AB10" s="140">
        <f t="shared" si="2"/>
        <v>0</v>
      </c>
      <c r="AC10" s="140">
        <f t="shared" si="2"/>
        <v>0</v>
      </c>
      <c r="AD10" s="140">
        <f t="shared" si="2"/>
        <v>0</v>
      </c>
      <c r="AE10" s="140">
        <f t="shared" si="2"/>
        <v>0</v>
      </c>
      <c r="AF10" s="140">
        <f t="shared" si="2"/>
        <v>0</v>
      </c>
      <c r="AG10" s="140">
        <f t="shared" si="2"/>
        <v>0</v>
      </c>
      <c r="AH10" s="140">
        <f t="shared" si="2"/>
        <v>0</v>
      </c>
      <c r="AI10" s="140">
        <f t="shared" si="2"/>
        <v>15353222</v>
      </c>
      <c r="AJ10" s="140">
        <f t="shared" si="2"/>
        <v>0</v>
      </c>
      <c r="AK10" s="140">
        <f t="shared" si="2"/>
        <v>0</v>
      </c>
      <c r="AL10" s="140">
        <f t="shared" si="2"/>
        <v>0</v>
      </c>
      <c r="AM10" s="140">
        <f t="shared" si="2"/>
        <v>0</v>
      </c>
      <c r="AN10" s="140">
        <f t="shared" si="2"/>
        <v>0</v>
      </c>
      <c r="AO10" s="140">
        <f t="shared" si="2"/>
        <v>0</v>
      </c>
      <c r="AP10" s="140">
        <f t="shared" si="2"/>
        <v>8117990</v>
      </c>
      <c r="AQ10" s="140">
        <f t="shared" si="2"/>
        <v>0</v>
      </c>
      <c r="AR10" s="140">
        <f t="shared" si="2"/>
        <v>0</v>
      </c>
      <c r="AS10" s="140">
        <f t="shared" si="2"/>
        <v>0</v>
      </c>
    </row>
    <row r="11" spans="1:45" x14ac:dyDescent="0.25">
      <c r="D11" s="140">
        <f>SUM(D7:D9)</f>
        <v>47825182</v>
      </c>
      <c r="E11" s="140">
        <f t="shared" ref="E11:AS11" si="3">SUM(E7:E9)</f>
        <v>0</v>
      </c>
      <c r="F11" s="140">
        <f t="shared" si="3"/>
        <v>0</v>
      </c>
      <c r="G11" s="140">
        <f t="shared" si="3"/>
        <v>0</v>
      </c>
      <c r="H11" s="140">
        <f t="shared" si="3"/>
        <v>0</v>
      </c>
      <c r="I11" s="140">
        <f t="shared" si="3"/>
        <v>0</v>
      </c>
      <c r="J11" s="140">
        <f t="shared" si="3"/>
        <v>0</v>
      </c>
      <c r="K11" s="140">
        <f t="shared" si="3"/>
        <v>0</v>
      </c>
      <c r="L11" s="140">
        <f t="shared" si="3"/>
        <v>8117990</v>
      </c>
      <c r="M11" s="140">
        <f t="shared" si="3"/>
        <v>0</v>
      </c>
      <c r="N11" s="140">
        <f t="shared" si="3"/>
        <v>0</v>
      </c>
      <c r="O11" s="140">
        <f t="shared" si="3"/>
        <v>0</v>
      </c>
      <c r="P11" s="140">
        <f t="shared" si="3"/>
        <v>0</v>
      </c>
      <c r="Q11" s="140">
        <f t="shared" si="3"/>
        <v>0</v>
      </c>
      <c r="R11" s="140">
        <f t="shared" si="3"/>
        <v>0</v>
      </c>
      <c r="S11" s="140">
        <f t="shared" si="3"/>
        <v>0</v>
      </c>
      <c r="T11" s="140">
        <f t="shared" si="3"/>
        <v>8117990</v>
      </c>
      <c r="U11" s="140">
        <f t="shared" si="3"/>
        <v>0</v>
      </c>
      <c r="V11" s="140">
        <f t="shared" si="3"/>
        <v>0</v>
      </c>
      <c r="W11" s="140">
        <f t="shared" si="3"/>
        <v>0</v>
      </c>
      <c r="X11" s="140">
        <f t="shared" si="3"/>
        <v>0</v>
      </c>
      <c r="Y11" s="140">
        <f t="shared" si="3"/>
        <v>0</v>
      </c>
      <c r="Z11" s="140">
        <f t="shared" si="3"/>
        <v>0</v>
      </c>
      <c r="AA11" s="140">
        <f t="shared" si="3"/>
        <v>8117990</v>
      </c>
      <c r="AB11" s="140">
        <f t="shared" si="3"/>
        <v>0</v>
      </c>
      <c r="AC11" s="140">
        <f t="shared" si="3"/>
        <v>0</v>
      </c>
      <c r="AD11" s="140">
        <f t="shared" si="3"/>
        <v>0</v>
      </c>
      <c r="AE11" s="140">
        <f t="shared" si="3"/>
        <v>0</v>
      </c>
      <c r="AF11" s="140">
        <f t="shared" si="3"/>
        <v>0</v>
      </c>
      <c r="AG11" s="140">
        <f t="shared" si="3"/>
        <v>0</v>
      </c>
      <c r="AH11" s="140">
        <f t="shared" si="3"/>
        <v>0</v>
      </c>
      <c r="AI11" s="140">
        <f t="shared" si="3"/>
        <v>15353222</v>
      </c>
      <c r="AJ11" s="140">
        <f t="shared" si="3"/>
        <v>0</v>
      </c>
      <c r="AK11" s="140">
        <f t="shared" si="3"/>
        <v>0</v>
      </c>
      <c r="AL11" s="140">
        <f t="shared" si="3"/>
        <v>0</v>
      </c>
      <c r="AM11" s="140">
        <f t="shared" si="3"/>
        <v>0</v>
      </c>
      <c r="AN11" s="140">
        <f t="shared" si="3"/>
        <v>0</v>
      </c>
      <c r="AO11" s="140">
        <f t="shared" si="3"/>
        <v>0</v>
      </c>
      <c r="AP11" s="140">
        <f t="shared" si="3"/>
        <v>8117990</v>
      </c>
      <c r="AQ11" s="140">
        <f t="shared" si="3"/>
        <v>0</v>
      </c>
      <c r="AR11" s="140">
        <f t="shared" si="3"/>
        <v>0</v>
      </c>
      <c r="AS11" s="140">
        <f t="shared" si="3"/>
        <v>0</v>
      </c>
    </row>
    <row r="12" spans="1:45" x14ac:dyDescent="0.25">
      <c r="A12" s="139" t="s">
        <v>203</v>
      </c>
      <c r="E12" s="140"/>
      <c r="F12" s="140">
        <f t="shared" ref="F12:AS12" si="4">IF(F4&lt;=$B$3,F6,NA())</f>
        <v>3076731</v>
      </c>
      <c r="G12" s="140">
        <f t="shared" si="4"/>
        <v>3076731</v>
      </c>
      <c r="H12" s="140">
        <f t="shared" si="4"/>
        <v>3076731</v>
      </c>
      <c r="I12" s="140">
        <f t="shared" si="4"/>
        <v>3076731</v>
      </c>
      <c r="J12" s="140">
        <f t="shared" si="4"/>
        <v>3076731</v>
      </c>
      <c r="K12" s="140">
        <f t="shared" si="4"/>
        <v>3076731</v>
      </c>
      <c r="L12" s="140">
        <f t="shared" si="4"/>
        <v>3076731</v>
      </c>
      <c r="M12" s="140">
        <f t="shared" si="4"/>
        <v>3076731</v>
      </c>
      <c r="N12" s="140">
        <f t="shared" si="4"/>
        <v>3076731</v>
      </c>
      <c r="O12" s="140">
        <f t="shared" si="4"/>
        <v>3076731</v>
      </c>
      <c r="P12" s="140">
        <f t="shared" si="4"/>
        <v>3076731</v>
      </c>
      <c r="Q12" s="140">
        <f t="shared" si="4"/>
        <v>3076731</v>
      </c>
      <c r="R12" s="140">
        <f t="shared" si="4"/>
        <v>3076731</v>
      </c>
      <c r="S12" s="140">
        <f t="shared" si="4"/>
        <v>3076731</v>
      </c>
      <c r="T12" s="140">
        <f t="shared" si="4"/>
        <v>3076731</v>
      </c>
      <c r="U12" s="140">
        <f t="shared" si="4"/>
        <v>3076731</v>
      </c>
      <c r="V12" s="140">
        <f t="shared" si="4"/>
        <v>3076731</v>
      </c>
      <c r="W12" s="140" t="e">
        <f t="shared" si="4"/>
        <v>#N/A</v>
      </c>
      <c r="X12" s="140" t="e">
        <f t="shared" si="4"/>
        <v>#N/A</v>
      </c>
      <c r="Y12" s="140" t="e">
        <f t="shared" si="4"/>
        <v>#N/A</v>
      </c>
      <c r="Z12" s="140" t="e">
        <f t="shared" si="4"/>
        <v>#N/A</v>
      </c>
      <c r="AA12" s="140" t="e">
        <f t="shared" si="4"/>
        <v>#N/A</v>
      </c>
      <c r="AB12" s="140" t="e">
        <f t="shared" si="4"/>
        <v>#N/A</v>
      </c>
      <c r="AC12" s="140" t="e">
        <f t="shared" si="4"/>
        <v>#N/A</v>
      </c>
      <c r="AD12" s="140" t="e">
        <f t="shared" si="4"/>
        <v>#N/A</v>
      </c>
      <c r="AE12" s="140" t="e">
        <f t="shared" si="4"/>
        <v>#N/A</v>
      </c>
      <c r="AF12" s="140" t="e">
        <f t="shared" si="4"/>
        <v>#N/A</v>
      </c>
      <c r="AG12" s="140" t="e">
        <f t="shared" si="4"/>
        <v>#N/A</v>
      </c>
      <c r="AH12" s="140" t="e">
        <f t="shared" si="4"/>
        <v>#N/A</v>
      </c>
      <c r="AI12" s="140" t="e">
        <f t="shared" si="4"/>
        <v>#N/A</v>
      </c>
      <c r="AJ12" s="140" t="e">
        <f t="shared" si="4"/>
        <v>#N/A</v>
      </c>
      <c r="AK12" s="140" t="e">
        <f t="shared" si="4"/>
        <v>#N/A</v>
      </c>
      <c r="AL12" s="140" t="e">
        <f t="shared" si="4"/>
        <v>#N/A</v>
      </c>
      <c r="AM12" s="140" t="e">
        <f t="shared" si="4"/>
        <v>#N/A</v>
      </c>
      <c r="AN12" s="140" t="e">
        <f t="shared" si="4"/>
        <v>#N/A</v>
      </c>
      <c r="AO12" s="140" t="e">
        <f t="shared" si="4"/>
        <v>#N/A</v>
      </c>
      <c r="AP12" s="140" t="e">
        <f t="shared" si="4"/>
        <v>#N/A</v>
      </c>
      <c r="AQ12" s="140" t="e">
        <f t="shared" si="4"/>
        <v>#N/A</v>
      </c>
      <c r="AR12" s="140" t="e">
        <f t="shared" si="4"/>
        <v>#N/A</v>
      </c>
      <c r="AS12" s="140" t="e">
        <f t="shared" si="4"/>
        <v>#N/A</v>
      </c>
    </row>
    <row r="13" spans="1:45" x14ac:dyDescent="0.25">
      <c r="A13" s="139" t="s">
        <v>205</v>
      </c>
      <c r="E13" s="140">
        <f>IF(E4&lt;$B$3,E11,NA())</f>
        <v>0</v>
      </c>
      <c r="F13" s="140">
        <f t="shared" ref="F13:AS13" si="5">IF(F4&lt;$B$3,F11,NA())</f>
        <v>0</v>
      </c>
      <c r="G13" s="140">
        <f t="shared" si="5"/>
        <v>0</v>
      </c>
      <c r="H13" s="140">
        <f t="shared" si="5"/>
        <v>0</v>
      </c>
      <c r="I13" s="140">
        <f t="shared" si="5"/>
        <v>0</v>
      </c>
      <c r="J13" s="140">
        <f t="shared" si="5"/>
        <v>0</v>
      </c>
      <c r="K13" s="140">
        <f t="shared" si="5"/>
        <v>0</v>
      </c>
      <c r="L13" s="140">
        <f t="shared" si="5"/>
        <v>8117990</v>
      </c>
      <c r="M13" s="140">
        <f t="shared" si="5"/>
        <v>0</v>
      </c>
      <c r="N13" s="140">
        <f t="shared" si="5"/>
        <v>0</v>
      </c>
      <c r="O13" s="140">
        <f t="shared" si="5"/>
        <v>0</v>
      </c>
      <c r="P13" s="140">
        <f t="shared" si="5"/>
        <v>0</v>
      </c>
      <c r="Q13" s="140">
        <f t="shared" si="5"/>
        <v>0</v>
      </c>
      <c r="R13" s="140">
        <f t="shared" si="5"/>
        <v>0</v>
      </c>
      <c r="S13" s="140">
        <f t="shared" si="5"/>
        <v>0</v>
      </c>
      <c r="T13" s="140">
        <f t="shared" si="5"/>
        <v>8117990</v>
      </c>
      <c r="U13" s="140">
        <f t="shared" si="5"/>
        <v>0</v>
      </c>
      <c r="V13" s="140">
        <f t="shared" si="5"/>
        <v>0</v>
      </c>
      <c r="W13" s="140" t="e">
        <f t="shared" si="5"/>
        <v>#N/A</v>
      </c>
      <c r="X13" s="140" t="e">
        <f t="shared" si="5"/>
        <v>#N/A</v>
      </c>
      <c r="Y13" s="140" t="e">
        <f t="shared" si="5"/>
        <v>#N/A</v>
      </c>
      <c r="Z13" s="140" t="e">
        <f t="shared" si="5"/>
        <v>#N/A</v>
      </c>
      <c r="AA13" s="140" t="e">
        <f t="shared" si="5"/>
        <v>#N/A</v>
      </c>
      <c r="AB13" s="140" t="e">
        <f t="shared" si="5"/>
        <v>#N/A</v>
      </c>
      <c r="AC13" s="140" t="e">
        <f t="shared" si="5"/>
        <v>#N/A</v>
      </c>
      <c r="AD13" s="140" t="e">
        <f t="shared" si="5"/>
        <v>#N/A</v>
      </c>
      <c r="AE13" s="140" t="e">
        <f t="shared" si="5"/>
        <v>#N/A</v>
      </c>
      <c r="AF13" s="140" t="e">
        <f t="shared" si="5"/>
        <v>#N/A</v>
      </c>
      <c r="AG13" s="140" t="e">
        <f t="shared" si="5"/>
        <v>#N/A</v>
      </c>
      <c r="AH13" s="140" t="e">
        <f t="shared" si="5"/>
        <v>#N/A</v>
      </c>
      <c r="AI13" s="140" t="e">
        <f t="shared" si="5"/>
        <v>#N/A</v>
      </c>
      <c r="AJ13" s="140" t="e">
        <f t="shared" si="5"/>
        <v>#N/A</v>
      </c>
      <c r="AK13" s="140" t="e">
        <f t="shared" si="5"/>
        <v>#N/A</v>
      </c>
      <c r="AL13" s="140" t="e">
        <f t="shared" si="5"/>
        <v>#N/A</v>
      </c>
      <c r="AM13" s="140" t="e">
        <f t="shared" si="5"/>
        <v>#N/A</v>
      </c>
      <c r="AN13" s="140" t="e">
        <f t="shared" si="5"/>
        <v>#N/A</v>
      </c>
      <c r="AO13" s="140" t="e">
        <f t="shared" si="5"/>
        <v>#N/A</v>
      </c>
      <c r="AP13" s="140" t="e">
        <f t="shared" si="5"/>
        <v>#N/A</v>
      </c>
      <c r="AQ13" s="140" t="e">
        <f t="shared" si="5"/>
        <v>#N/A</v>
      </c>
      <c r="AR13" s="140" t="e">
        <f t="shared" si="5"/>
        <v>#N/A</v>
      </c>
      <c r="AS13" s="140" t="e">
        <f t="shared" si="5"/>
        <v>#N/A</v>
      </c>
    </row>
    <row r="14" spans="1:45" ht="10.5" customHeight="1" x14ac:dyDescent="0.25">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row>
    <row r="15" spans="1:45" x14ac:dyDescent="0.25">
      <c r="A15" s="142" t="str">
        <f>Cálculo!J21</f>
        <v>ALTERNATIVA 2: CMH</v>
      </c>
      <c r="E15" s="139">
        <v>0</v>
      </c>
      <c r="F15" s="139">
        <v>1</v>
      </c>
      <c r="G15" s="139">
        <v>2</v>
      </c>
      <c r="H15" s="139">
        <v>3</v>
      </c>
      <c r="I15" s="139">
        <v>4</v>
      </c>
      <c r="J15" s="139">
        <v>5</v>
      </c>
      <c r="K15" s="139">
        <v>6</v>
      </c>
      <c r="L15" s="139">
        <v>7</v>
      </c>
      <c r="M15" s="139">
        <v>8</v>
      </c>
      <c r="N15" s="139">
        <v>9</v>
      </c>
      <c r="O15" s="139">
        <v>10</v>
      </c>
      <c r="P15" s="139">
        <v>11</v>
      </c>
      <c r="Q15" s="139">
        <v>12</v>
      </c>
      <c r="R15" s="139">
        <v>13</v>
      </c>
      <c r="S15" s="139">
        <v>14</v>
      </c>
      <c r="T15" s="139">
        <v>15</v>
      </c>
      <c r="U15" s="139">
        <v>16</v>
      </c>
      <c r="V15" s="139">
        <v>17</v>
      </c>
      <c r="W15" s="139">
        <v>18</v>
      </c>
      <c r="X15" s="139">
        <v>19</v>
      </c>
      <c r="Y15" s="139">
        <v>20</v>
      </c>
      <c r="Z15" s="139">
        <v>21</v>
      </c>
      <c r="AA15" s="139">
        <v>22</v>
      </c>
      <c r="AB15" s="139">
        <v>23</v>
      </c>
      <c r="AC15" s="139">
        <v>24</v>
      </c>
      <c r="AD15" s="139">
        <v>25</v>
      </c>
      <c r="AE15" s="139">
        <v>26</v>
      </c>
      <c r="AF15" s="139">
        <v>27</v>
      </c>
      <c r="AG15" s="139">
        <v>28</v>
      </c>
      <c r="AH15" s="139">
        <v>29</v>
      </c>
      <c r="AI15" s="139">
        <v>30</v>
      </c>
      <c r="AJ15" s="139">
        <v>31</v>
      </c>
      <c r="AK15" s="139">
        <v>32</v>
      </c>
      <c r="AL15" s="139">
        <v>33</v>
      </c>
      <c r="AM15" s="139">
        <v>34</v>
      </c>
      <c r="AN15" s="139">
        <v>35</v>
      </c>
      <c r="AO15" s="139">
        <v>36</v>
      </c>
      <c r="AP15" s="139">
        <v>37</v>
      </c>
      <c r="AQ15" s="139">
        <v>38</v>
      </c>
      <c r="AR15" s="139">
        <v>39</v>
      </c>
      <c r="AS15" s="139">
        <v>40</v>
      </c>
    </row>
    <row r="16" spans="1:45" x14ac:dyDescent="0.25">
      <c r="A16" s="139" t="s">
        <v>204</v>
      </c>
      <c r="B16" s="139" t="s">
        <v>194</v>
      </c>
      <c r="E16" s="140">
        <f>Cálculo!N39</f>
        <v>15046582</v>
      </c>
    </row>
    <row r="17" spans="1:45" x14ac:dyDescent="0.25">
      <c r="A17" s="139" t="s">
        <v>203</v>
      </c>
      <c r="B17" s="139" t="s">
        <v>195</v>
      </c>
      <c r="C17" s="140">
        <f>Cálculo!N66</f>
        <v>3076731</v>
      </c>
      <c r="D17" s="143">
        <f>SUM(E17:AS17)</f>
        <v>52304427</v>
      </c>
      <c r="F17" s="141">
        <f>IF(F15&lt;=$B$3,$C$17,0)</f>
        <v>3076731</v>
      </c>
      <c r="G17" s="141">
        <f t="shared" ref="G17:AS17" si="6">IF(G15&lt;=$B$3,$C$17,0)</f>
        <v>3076731</v>
      </c>
      <c r="H17" s="141">
        <f t="shared" si="6"/>
        <v>3076731</v>
      </c>
      <c r="I17" s="141">
        <f t="shared" si="6"/>
        <v>3076731</v>
      </c>
      <c r="J17" s="141">
        <f t="shared" si="6"/>
        <v>3076731</v>
      </c>
      <c r="K17" s="141">
        <f t="shared" si="6"/>
        <v>3076731</v>
      </c>
      <c r="L17" s="141">
        <f t="shared" si="6"/>
        <v>3076731</v>
      </c>
      <c r="M17" s="141">
        <f t="shared" si="6"/>
        <v>3076731</v>
      </c>
      <c r="N17" s="141">
        <f t="shared" si="6"/>
        <v>3076731</v>
      </c>
      <c r="O17" s="141">
        <f t="shared" si="6"/>
        <v>3076731</v>
      </c>
      <c r="P17" s="141">
        <f t="shared" si="6"/>
        <v>3076731</v>
      </c>
      <c r="Q17" s="141">
        <f t="shared" si="6"/>
        <v>3076731</v>
      </c>
      <c r="R17" s="141">
        <f t="shared" si="6"/>
        <v>3076731</v>
      </c>
      <c r="S17" s="141">
        <f t="shared" si="6"/>
        <v>3076731</v>
      </c>
      <c r="T17" s="141">
        <f t="shared" si="6"/>
        <v>3076731</v>
      </c>
      <c r="U17" s="141">
        <f t="shared" si="6"/>
        <v>3076731</v>
      </c>
      <c r="V17" s="141">
        <f t="shared" si="6"/>
        <v>3076731</v>
      </c>
      <c r="W17" s="141">
        <f t="shared" si="6"/>
        <v>0</v>
      </c>
      <c r="X17" s="141">
        <f t="shared" si="6"/>
        <v>0</v>
      </c>
      <c r="Y17" s="141">
        <f t="shared" si="6"/>
        <v>0</v>
      </c>
      <c r="Z17" s="141">
        <f t="shared" si="6"/>
        <v>0</v>
      </c>
      <c r="AA17" s="141">
        <f t="shared" si="6"/>
        <v>0</v>
      </c>
      <c r="AB17" s="141">
        <f t="shared" si="6"/>
        <v>0</v>
      </c>
      <c r="AC17" s="141">
        <f t="shared" si="6"/>
        <v>0</v>
      </c>
      <c r="AD17" s="141">
        <f t="shared" si="6"/>
        <v>0</v>
      </c>
      <c r="AE17" s="141">
        <f t="shared" si="6"/>
        <v>0</v>
      </c>
      <c r="AF17" s="141">
        <f t="shared" si="6"/>
        <v>0</v>
      </c>
      <c r="AG17" s="141">
        <f t="shared" si="6"/>
        <v>0</v>
      </c>
      <c r="AH17" s="141">
        <f t="shared" si="6"/>
        <v>0</v>
      </c>
      <c r="AI17" s="141">
        <f t="shared" si="6"/>
        <v>0</v>
      </c>
      <c r="AJ17" s="141">
        <f t="shared" si="6"/>
        <v>0</v>
      </c>
      <c r="AK17" s="141">
        <f t="shared" si="6"/>
        <v>0</v>
      </c>
      <c r="AL17" s="141">
        <f t="shared" si="6"/>
        <v>0</v>
      </c>
      <c r="AM17" s="141">
        <f t="shared" si="6"/>
        <v>0</v>
      </c>
      <c r="AN17" s="141">
        <f t="shared" si="6"/>
        <v>0</v>
      </c>
      <c r="AO17" s="141">
        <f t="shared" si="6"/>
        <v>0</v>
      </c>
      <c r="AP17" s="141">
        <f t="shared" si="6"/>
        <v>0</v>
      </c>
      <c r="AQ17" s="141">
        <f t="shared" si="6"/>
        <v>0</v>
      </c>
      <c r="AR17" s="141">
        <f t="shared" si="6"/>
        <v>0</v>
      </c>
      <c r="AS17" s="141">
        <f t="shared" si="6"/>
        <v>0</v>
      </c>
    </row>
    <row r="18" spans="1:45" x14ac:dyDescent="0.25">
      <c r="B18" s="139" t="s">
        <v>196</v>
      </c>
      <c r="D18" s="143">
        <f>SUM(E18:AS18)</f>
        <v>39056750</v>
      </c>
      <c r="E18" s="156"/>
      <c r="F18" s="156"/>
      <c r="G18" s="156"/>
      <c r="H18" s="156"/>
      <c r="I18" s="156"/>
      <c r="J18" s="156"/>
      <c r="K18" s="156"/>
      <c r="L18" s="157">
        <v>7811350</v>
      </c>
      <c r="M18" s="156"/>
      <c r="N18" s="156"/>
      <c r="O18" s="156"/>
      <c r="P18" s="156"/>
      <c r="Q18" s="156"/>
      <c r="R18" s="156"/>
      <c r="S18" s="156"/>
      <c r="T18" s="157">
        <v>7811350</v>
      </c>
      <c r="U18" s="156"/>
      <c r="V18" s="156"/>
      <c r="W18" s="156"/>
      <c r="X18" s="156"/>
      <c r="Y18" s="156"/>
      <c r="Z18" s="158"/>
      <c r="AA18" s="156">
        <v>7811350</v>
      </c>
      <c r="AB18" s="156"/>
      <c r="AC18" s="156"/>
      <c r="AD18" s="156"/>
      <c r="AE18" s="156"/>
      <c r="AF18" s="156"/>
      <c r="AG18" s="156"/>
      <c r="AH18" s="156"/>
      <c r="AI18" s="156">
        <v>7811350</v>
      </c>
      <c r="AJ18" s="156"/>
      <c r="AK18" s="156"/>
      <c r="AL18" s="156"/>
      <c r="AM18" s="156"/>
      <c r="AN18" s="156"/>
      <c r="AO18" s="156"/>
      <c r="AP18" s="156">
        <v>7811350</v>
      </c>
      <c r="AQ18" s="156"/>
      <c r="AR18" s="156"/>
      <c r="AS18" s="156"/>
    </row>
    <row r="19" spans="1:45" x14ac:dyDescent="0.25">
      <c r="B19" s="139" t="s">
        <v>197</v>
      </c>
      <c r="D19" s="143">
        <f>SUM(E19:AS19)</f>
        <v>7235232</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v>7235232</v>
      </c>
      <c r="AJ19" s="156"/>
      <c r="AK19" s="156"/>
      <c r="AL19" s="156"/>
      <c r="AM19" s="156"/>
      <c r="AN19" s="156"/>
      <c r="AO19" s="156"/>
      <c r="AP19" s="156"/>
      <c r="AQ19" s="156"/>
      <c r="AR19" s="156"/>
      <c r="AS19" s="156"/>
    </row>
    <row r="20" spans="1:45" x14ac:dyDescent="0.25">
      <c r="B20" s="139" t="s">
        <v>198</v>
      </c>
      <c r="D20" s="143">
        <f>SUM(E20:AS20)</f>
        <v>0</v>
      </c>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row>
    <row r="21" spans="1:45" x14ac:dyDescent="0.25">
      <c r="B21" s="139" t="s">
        <v>199</v>
      </c>
      <c r="D21" s="143">
        <f>SUM(E21:AS21)</f>
        <v>113642991</v>
      </c>
      <c r="E21" s="140">
        <f t="shared" ref="E21:AS21" si="7">SUM(E16:E20)</f>
        <v>15046582</v>
      </c>
      <c r="F21" s="140">
        <f t="shared" si="7"/>
        <v>3076731</v>
      </c>
      <c r="G21" s="140">
        <f t="shared" si="7"/>
        <v>3076731</v>
      </c>
      <c r="H21" s="140">
        <f t="shared" si="7"/>
        <v>3076731</v>
      </c>
      <c r="I21" s="140">
        <f t="shared" si="7"/>
        <v>3076731</v>
      </c>
      <c r="J21" s="140">
        <f t="shared" si="7"/>
        <v>3076731</v>
      </c>
      <c r="K21" s="140">
        <f t="shared" si="7"/>
        <v>3076731</v>
      </c>
      <c r="L21" s="140">
        <f t="shared" si="7"/>
        <v>10888081</v>
      </c>
      <c r="M21" s="140">
        <f t="shared" si="7"/>
        <v>3076731</v>
      </c>
      <c r="N21" s="140">
        <f t="shared" si="7"/>
        <v>3076731</v>
      </c>
      <c r="O21" s="140">
        <f t="shared" si="7"/>
        <v>3076731</v>
      </c>
      <c r="P21" s="140">
        <f t="shared" si="7"/>
        <v>3076731</v>
      </c>
      <c r="Q21" s="140">
        <f t="shared" si="7"/>
        <v>3076731</v>
      </c>
      <c r="R21" s="140">
        <f t="shared" si="7"/>
        <v>3076731</v>
      </c>
      <c r="S21" s="140">
        <f t="shared" si="7"/>
        <v>3076731</v>
      </c>
      <c r="T21" s="140">
        <f t="shared" si="7"/>
        <v>10888081</v>
      </c>
      <c r="U21" s="140">
        <f t="shared" si="7"/>
        <v>3076731</v>
      </c>
      <c r="V21" s="140">
        <f t="shared" si="7"/>
        <v>3076731</v>
      </c>
      <c r="W21" s="140">
        <f t="shared" si="7"/>
        <v>0</v>
      </c>
      <c r="X21" s="140">
        <f t="shared" si="7"/>
        <v>0</v>
      </c>
      <c r="Y21" s="140">
        <f t="shared" si="7"/>
        <v>0</v>
      </c>
      <c r="Z21" s="140">
        <f t="shared" si="7"/>
        <v>0</v>
      </c>
      <c r="AA21" s="140">
        <f t="shared" si="7"/>
        <v>7811350</v>
      </c>
      <c r="AB21" s="140">
        <f t="shared" si="7"/>
        <v>0</v>
      </c>
      <c r="AC21" s="140">
        <f t="shared" si="7"/>
        <v>0</v>
      </c>
      <c r="AD21" s="140">
        <f t="shared" si="7"/>
        <v>0</v>
      </c>
      <c r="AE21" s="140">
        <f t="shared" si="7"/>
        <v>0</v>
      </c>
      <c r="AF21" s="140">
        <f t="shared" si="7"/>
        <v>0</v>
      </c>
      <c r="AG21" s="140">
        <f t="shared" si="7"/>
        <v>0</v>
      </c>
      <c r="AH21" s="140">
        <f t="shared" si="7"/>
        <v>0</v>
      </c>
      <c r="AI21" s="140">
        <f t="shared" si="7"/>
        <v>15046582</v>
      </c>
      <c r="AJ21" s="140">
        <f t="shared" si="7"/>
        <v>0</v>
      </c>
      <c r="AK21" s="140">
        <f t="shared" si="7"/>
        <v>0</v>
      </c>
      <c r="AL21" s="140">
        <f t="shared" si="7"/>
        <v>0</v>
      </c>
      <c r="AM21" s="140">
        <f t="shared" si="7"/>
        <v>0</v>
      </c>
      <c r="AN21" s="140">
        <f t="shared" si="7"/>
        <v>0</v>
      </c>
      <c r="AO21" s="140">
        <f t="shared" si="7"/>
        <v>0</v>
      </c>
      <c r="AP21" s="140">
        <f t="shared" si="7"/>
        <v>7811350</v>
      </c>
      <c r="AQ21" s="140">
        <f t="shared" si="7"/>
        <v>0</v>
      </c>
      <c r="AR21" s="140">
        <f t="shared" si="7"/>
        <v>0</v>
      </c>
      <c r="AS21" s="140">
        <f t="shared" si="7"/>
        <v>0</v>
      </c>
    </row>
    <row r="22" spans="1:45" x14ac:dyDescent="0.25">
      <c r="A22" s="139" t="s">
        <v>205</v>
      </c>
      <c r="D22" s="140">
        <f>SUM(D18:D20)</f>
        <v>46291982</v>
      </c>
      <c r="E22" s="140">
        <f t="shared" ref="E22:AS22" si="8">SUM(E18:E20)</f>
        <v>0</v>
      </c>
      <c r="F22" s="140">
        <f t="shared" si="8"/>
        <v>0</v>
      </c>
      <c r="G22" s="140">
        <f t="shared" si="8"/>
        <v>0</v>
      </c>
      <c r="H22" s="140">
        <f t="shared" si="8"/>
        <v>0</v>
      </c>
      <c r="I22" s="140">
        <f t="shared" si="8"/>
        <v>0</v>
      </c>
      <c r="J22" s="140">
        <f t="shared" si="8"/>
        <v>0</v>
      </c>
      <c r="K22" s="140">
        <f t="shared" si="8"/>
        <v>0</v>
      </c>
      <c r="L22" s="140">
        <f t="shared" si="8"/>
        <v>7811350</v>
      </c>
      <c r="M22" s="140">
        <f t="shared" si="8"/>
        <v>0</v>
      </c>
      <c r="N22" s="140">
        <f t="shared" si="8"/>
        <v>0</v>
      </c>
      <c r="O22" s="140">
        <f t="shared" si="8"/>
        <v>0</v>
      </c>
      <c r="P22" s="140">
        <f t="shared" si="8"/>
        <v>0</v>
      </c>
      <c r="Q22" s="140">
        <f t="shared" si="8"/>
        <v>0</v>
      </c>
      <c r="R22" s="140">
        <f t="shared" si="8"/>
        <v>0</v>
      </c>
      <c r="S22" s="140">
        <f t="shared" si="8"/>
        <v>0</v>
      </c>
      <c r="T22" s="140">
        <f t="shared" si="8"/>
        <v>7811350</v>
      </c>
      <c r="U22" s="140">
        <f t="shared" si="8"/>
        <v>0</v>
      </c>
      <c r="V22" s="140">
        <f t="shared" si="8"/>
        <v>0</v>
      </c>
      <c r="W22" s="140">
        <f t="shared" si="8"/>
        <v>0</v>
      </c>
      <c r="X22" s="140">
        <f t="shared" si="8"/>
        <v>0</v>
      </c>
      <c r="Y22" s="140">
        <f t="shared" si="8"/>
        <v>0</v>
      </c>
      <c r="Z22" s="140">
        <f t="shared" si="8"/>
        <v>0</v>
      </c>
      <c r="AA22" s="140">
        <f t="shared" si="8"/>
        <v>7811350</v>
      </c>
      <c r="AB22" s="140">
        <f t="shared" si="8"/>
        <v>0</v>
      </c>
      <c r="AC22" s="140">
        <f t="shared" si="8"/>
        <v>0</v>
      </c>
      <c r="AD22" s="140">
        <f t="shared" si="8"/>
        <v>0</v>
      </c>
      <c r="AE22" s="140">
        <f t="shared" si="8"/>
        <v>0</v>
      </c>
      <c r="AF22" s="140">
        <f t="shared" si="8"/>
        <v>0</v>
      </c>
      <c r="AG22" s="140">
        <f t="shared" si="8"/>
        <v>0</v>
      </c>
      <c r="AH22" s="140">
        <f t="shared" si="8"/>
        <v>0</v>
      </c>
      <c r="AI22" s="140">
        <f t="shared" si="8"/>
        <v>15046582</v>
      </c>
      <c r="AJ22" s="140">
        <f t="shared" si="8"/>
        <v>0</v>
      </c>
      <c r="AK22" s="140">
        <f t="shared" si="8"/>
        <v>0</v>
      </c>
      <c r="AL22" s="140">
        <f t="shared" si="8"/>
        <v>0</v>
      </c>
      <c r="AM22" s="140">
        <f t="shared" si="8"/>
        <v>0</v>
      </c>
      <c r="AN22" s="140">
        <f t="shared" si="8"/>
        <v>0</v>
      </c>
      <c r="AO22" s="140">
        <f t="shared" si="8"/>
        <v>0</v>
      </c>
      <c r="AP22" s="140">
        <f t="shared" si="8"/>
        <v>7811350</v>
      </c>
      <c r="AQ22" s="140">
        <f t="shared" si="8"/>
        <v>0</v>
      </c>
      <c r="AR22" s="140">
        <f t="shared" si="8"/>
        <v>0</v>
      </c>
      <c r="AS22" s="140">
        <f t="shared" si="8"/>
        <v>0</v>
      </c>
    </row>
    <row r="23" spans="1:45" x14ac:dyDescent="0.25">
      <c r="A23" s="139" t="s">
        <v>203</v>
      </c>
      <c r="F23" s="140">
        <f t="shared" ref="F23:AS23" si="9">IF(F15&lt;=$B$3,F17,NA())</f>
        <v>3076731</v>
      </c>
      <c r="G23" s="140">
        <f t="shared" si="9"/>
        <v>3076731</v>
      </c>
      <c r="H23" s="140">
        <f t="shared" si="9"/>
        <v>3076731</v>
      </c>
      <c r="I23" s="140">
        <f t="shared" si="9"/>
        <v>3076731</v>
      </c>
      <c r="J23" s="140">
        <f t="shared" si="9"/>
        <v>3076731</v>
      </c>
      <c r="K23" s="140">
        <f t="shared" si="9"/>
        <v>3076731</v>
      </c>
      <c r="L23" s="140">
        <f t="shared" si="9"/>
        <v>3076731</v>
      </c>
      <c r="M23" s="140">
        <f t="shared" si="9"/>
        <v>3076731</v>
      </c>
      <c r="N23" s="140">
        <f t="shared" si="9"/>
        <v>3076731</v>
      </c>
      <c r="O23" s="140">
        <f t="shared" si="9"/>
        <v>3076731</v>
      </c>
      <c r="P23" s="140">
        <f t="shared" si="9"/>
        <v>3076731</v>
      </c>
      <c r="Q23" s="140">
        <f t="shared" si="9"/>
        <v>3076731</v>
      </c>
      <c r="R23" s="140">
        <f t="shared" si="9"/>
        <v>3076731</v>
      </c>
      <c r="S23" s="140">
        <f t="shared" si="9"/>
        <v>3076731</v>
      </c>
      <c r="T23" s="140">
        <f t="shared" si="9"/>
        <v>3076731</v>
      </c>
      <c r="U23" s="140">
        <f t="shared" si="9"/>
        <v>3076731</v>
      </c>
      <c r="V23" s="140">
        <f t="shared" si="9"/>
        <v>3076731</v>
      </c>
      <c r="W23" s="140" t="e">
        <f t="shared" si="9"/>
        <v>#N/A</v>
      </c>
      <c r="X23" s="140" t="e">
        <f t="shared" si="9"/>
        <v>#N/A</v>
      </c>
      <c r="Y23" s="140" t="e">
        <f t="shared" si="9"/>
        <v>#N/A</v>
      </c>
      <c r="Z23" s="140" t="e">
        <f t="shared" si="9"/>
        <v>#N/A</v>
      </c>
      <c r="AA23" s="140" t="e">
        <f t="shared" si="9"/>
        <v>#N/A</v>
      </c>
      <c r="AB23" s="140" t="e">
        <f t="shared" si="9"/>
        <v>#N/A</v>
      </c>
      <c r="AC23" s="140" t="e">
        <f t="shared" si="9"/>
        <v>#N/A</v>
      </c>
      <c r="AD23" s="140" t="e">
        <f t="shared" si="9"/>
        <v>#N/A</v>
      </c>
      <c r="AE23" s="140" t="e">
        <f t="shared" si="9"/>
        <v>#N/A</v>
      </c>
      <c r="AF23" s="140" t="e">
        <f t="shared" si="9"/>
        <v>#N/A</v>
      </c>
      <c r="AG23" s="140" t="e">
        <f t="shared" si="9"/>
        <v>#N/A</v>
      </c>
      <c r="AH23" s="140" t="e">
        <f t="shared" si="9"/>
        <v>#N/A</v>
      </c>
      <c r="AI23" s="140" t="e">
        <f t="shared" si="9"/>
        <v>#N/A</v>
      </c>
      <c r="AJ23" s="140" t="e">
        <f t="shared" si="9"/>
        <v>#N/A</v>
      </c>
      <c r="AK23" s="140" t="e">
        <f t="shared" si="9"/>
        <v>#N/A</v>
      </c>
      <c r="AL23" s="140" t="e">
        <f t="shared" si="9"/>
        <v>#N/A</v>
      </c>
      <c r="AM23" s="140" t="e">
        <f t="shared" si="9"/>
        <v>#N/A</v>
      </c>
      <c r="AN23" s="140" t="e">
        <f t="shared" si="9"/>
        <v>#N/A</v>
      </c>
      <c r="AO23" s="140" t="e">
        <f t="shared" si="9"/>
        <v>#N/A</v>
      </c>
      <c r="AP23" s="140" t="e">
        <f t="shared" si="9"/>
        <v>#N/A</v>
      </c>
      <c r="AQ23" s="140" t="e">
        <f t="shared" si="9"/>
        <v>#N/A</v>
      </c>
      <c r="AR23" s="140" t="e">
        <f t="shared" si="9"/>
        <v>#N/A</v>
      </c>
      <c r="AS23" s="140" t="e">
        <f t="shared" si="9"/>
        <v>#N/A</v>
      </c>
    </row>
    <row r="24" spans="1:45" x14ac:dyDescent="0.25">
      <c r="A24" s="139" t="s">
        <v>205</v>
      </c>
      <c r="E24" s="140">
        <f>IF(E15&lt;$B$3,E22,NA())</f>
        <v>0</v>
      </c>
      <c r="F24" s="140">
        <f t="shared" ref="F24:AS24" si="10">IF(F15&lt;$B$3,F22,NA())</f>
        <v>0</v>
      </c>
      <c r="G24" s="140">
        <f t="shared" si="10"/>
        <v>0</v>
      </c>
      <c r="H24" s="140">
        <f t="shared" si="10"/>
        <v>0</v>
      </c>
      <c r="I24" s="140">
        <f t="shared" si="10"/>
        <v>0</v>
      </c>
      <c r="J24" s="140">
        <f t="shared" si="10"/>
        <v>0</v>
      </c>
      <c r="K24" s="140">
        <f t="shared" si="10"/>
        <v>0</v>
      </c>
      <c r="L24" s="140">
        <f t="shared" si="10"/>
        <v>7811350</v>
      </c>
      <c r="M24" s="140">
        <f t="shared" si="10"/>
        <v>0</v>
      </c>
      <c r="N24" s="140">
        <f t="shared" si="10"/>
        <v>0</v>
      </c>
      <c r="O24" s="140">
        <f t="shared" si="10"/>
        <v>0</v>
      </c>
      <c r="P24" s="140">
        <f t="shared" si="10"/>
        <v>0</v>
      </c>
      <c r="Q24" s="140">
        <f t="shared" si="10"/>
        <v>0</v>
      </c>
      <c r="R24" s="140">
        <f t="shared" si="10"/>
        <v>0</v>
      </c>
      <c r="S24" s="140">
        <f t="shared" si="10"/>
        <v>0</v>
      </c>
      <c r="T24" s="140">
        <f t="shared" si="10"/>
        <v>7811350</v>
      </c>
      <c r="U24" s="140">
        <f t="shared" si="10"/>
        <v>0</v>
      </c>
      <c r="V24" s="140">
        <f t="shared" si="10"/>
        <v>0</v>
      </c>
      <c r="W24" s="140" t="e">
        <f t="shared" si="10"/>
        <v>#N/A</v>
      </c>
      <c r="X24" s="140" t="e">
        <f t="shared" si="10"/>
        <v>#N/A</v>
      </c>
      <c r="Y24" s="140" t="e">
        <f t="shared" si="10"/>
        <v>#N/A</v>
      </c>
      <c r="Z24" s="140" t="e">
        <f t="shared" si="10"/>
        <v>#N/A</v>
      </c>
      <c r="AA24" s="140" t="e">
        <f t="shared" si="10"/>
        <v>#N/A</v>
      </c>
      <c r="AB24" s="140" t="e">
        <f t="shared" si="10"/>
        <v>#N/A</v>
      </c>
      <c r="AC24" s="140" t="e">
        <f t="shared" si="10"/>
        <v>#N/A</v>
      </c>
      <c r="AD24" s="140" t="e">
        <f t="shared" si="10"/>
        <v>#N/A</v>
      </c>
      <c r="AE24" s="140" t="e">
        <f t="shared" si="10"/>
        <v>#N/A</v>
      </c>
      <c r="AF24" s="140" t="e">
        <f t="shared" si="10"/>
        <v>#N/A</v>
      </c>
      <c r="AG24" s="140" t="e">
        <f t="shared" si="10"/>
        <v>#N/A</v>
      </c>
      <c r="AH24" s="140" t="e">
        <f t="shared" si="10"/>
        <v>#N/A</v>
      </c>
      <c r="AI24" s="140" t="e">
        <f t="shared" si="10"/>
        <v>#N/A</v>
      </c>
      <c r="AJ24" s="140" t="e">
        <f t="shared" si="10"/>
        <v>#N/A</v>
      </c>
      <c r="AK24" s="140" t="e">
        <f t="shared" si="10"/>
        <v>#N/A</v>
      </c>
      <c r="AL24" s="140" t="e">
        <f t="shared" si="10"/>
        <v>#N/A</v>
      </c>
      <c r="AM24" s="140" t="e">
        <f t="shared" si="10"/>
        <v>#N/A</v>
      </c>
      <c r="AN24" s="140" t="e">
        <f t="shared" si="10"/>
        <v>#N/A</v>
      </c>
      <c r="AO24" s="140" t="e">
        <f t="shared" si="10"/>
        <v>#N/A</v>
      </c>
      <c r="AP24" s="140" t="e">
        <f t="shared" si="10"/>
        <v>#N/A</v>
      </c>
      <c r="AQ24" s="140" t="e">
        <f t="shared" si="10"/>
        <v>#N/A</v>
      </c>
      <c r="AR24" s="140" t="e">
        <f t="shared" si="10"/>
        <v>#N/A</v>
      </c>
      <c r="AS24" s="140" t="e">
        <f t="shared" si="10"/>
        <v>#N/A</v>
      </c>
    </row>
    <row r="26" spans="1:45" x14ac:dyDescent="0.25">
      <c r="A26" s="142" t="str">
        <f>Cálculo!Q21</f>
        <v>ALTERNATIVA 3: LED</v>
      </c>
      <c r="E26" s="139">
        <v>0</v>
      </c>
      <c r="F26" s="139">
        <v>1</v>
      </c>
      <c r="G26" s="139">
        <v>2</v>
      </c>
      <c r="H26" s="139">
        <v>3</v>
      </c>
      <c r="I26" s="139">
        <v>4</v>
      </c>
      <c r="J26" s="139">
        <v>5</v>
      </c>
      <c r="K26" s="139">
        <v>6</v>
      </c>
      <c r="L26" s="139">
        <v>7</v>
      </c>
      <c r="M26" s="139">
        <v>8</v>
      </c>
      <c r="N26" s="139">
        <v>9</v>
      </c>
      <c r="O26" s="139">
        <v>10</v>
      </c>
      <c r="P26" s="139">
        <v>11</v>
      </c>
      <c r="Q26" s="139">
        <v>12</v>
      </c>
      <c r="R26" s="139">
        <v>13</v>
      </c>
      <c r="S26" s="139">
        <v>14</v>
      </c>
      <c r="T26" s="139">
        <v>15</v>
      </c>
      <c r="U26" s="139">
        <v>16</v>
      </c>
      <c r="V26" s="139">
        <v>17</v>
      </c>
      <c r="W26" s="139">
        <v>18</v>
      </c>
      <c r="X26" s="139">
        <v>19</v>
      </c>
      <c r="Y26" s="139">
        <v>20</v>
      </c>
      <c r="Z26" s="139">
        <v>21</v>
      </c>
      <c r="AA26" s="139">
        <v>22</v>
      </c>
      <c r="AB26" s="139">
        <v>23</v>
      </c>
      <c r="AC26" s="139">
        <v>24</v>
      </c>
      <c r="AD26" s="139">
        <v>25</v>
      </c>
      <c r="AE26" s="139">
        <v>26</v>
      </c>
      <c r="AF26" s="139">
        <v>27</v>
      </c>
      <c r="AG26" s="139">
        <v>28</v>
      </c>
      <c r="AH26" s="139">
        <v>29</v>
      </c>
      <c r="AI26" s="139">
        <v>30</v>
      </c>
      <c r="AJ26" s="139">
        <v>31</v>
      </c>
      <c r="AK26" s="139">
        <v>32</v>
      </c>
      <c r="AL26" s="139">
        <v>33</v>
      </c>
      <c r="AM26" s="139">
        <v>34</v>
      </c>
      <c r="AN26" s="139">
        <v>35</v>
      </c>
      <c r="AO26" s="139">
        <v>36</v>
      </c>
      <c r="AP26" s="139">
        <v>37</v>
      </c>
      <c r="AQ26" s="139">
        <v>38</v>
      </c>
      <c r="AR26" s="139">
        <v>39</v>
      </c>
      <c r="AS26" s="139">
        <v>40</v>
      </c>
    </row>
    <row r="27" spans="1:45" x14ac:dyDescent="0.25">
      <c r="A27" s="139" t="s">
        <v>204</v>
      </c>
      <c r="B27" s="139" t="s">
        <v>194</v>
      </c>
      <c r="E27" s="140">
        <f>Cálculo!U39</f>
        <v>19426462</v>
      </c>
    </row>
    <row r="28" spans="1:45" x14ac:dyDescent="0.25">
      <c r="A28" s="139" t="s">
        <v>203</v>
      </c>
      <c r="B28" s="139" t="s">
        <v>195</v>
      </c>
      <c r="C28" s="140">
        <f>Cálculo!U66</f>
        <v>1628045.9999999998</v>
      </c>
      <c r="D28" s="143">
        <f>SUM(E28:AS28)</f>
        <v>27676781.999999996</v>
      </c>
      <c r="F28" s="141">
        <f>IF(F26&lt;=$B$3,$C$28,0)</f>
        <v>1628045.9999999998</v>
      </c>
      <c r="G28" s="141">
        <f t="shared" ref="G28:AS28" si="11">IF(G26&lt;=$B$3,$C$28,0)</f>
        <v>1628045.9999999998</v>
      </c>
      <c r="H28" s="141">
        <f t="shared" si="11"/>
        <v>1628045.9999999998</v>
      </c>
      <c r="I28" s="141">
        <f t="shared" si="11"/>
        <v>1628045.9999999998</v>
      </c>
      <c r="J28" s="141">
        <f t="shared" si="11"/>
        <v>1628045.9999999998</v>
      </c>
      <c r="K28" s="141">
        <f t="shared" si="11"/>
        <v>1628045.9999999998</v>
      </c>
      <c r="L28" s="141">
        <f t="shared" si="11"/>
        <v>1628045.9999999998</v>
      </c>
      <c r="M28" s="141">
        <f t="shared" si="11"/>
        <v>1628045.9999999998</v>
      </c>
      <c r="N28" s="141">
        <f t="shared" si="11"/>
        <v>1628045.9999999998</v>
      </c>
      <c r="O28" s="141">
        <f t="shared" si="11"/>
        <v>1628045.9999999998</v>
      </c>
      <c r="P28" s="141">
        <f t="shared" si="11"/>
        <v>1628045.9999999998</v>
      </c>
      <c r="Q28" s="141">
        <f t="shared" si="11"/>
        <v>1628045.9999999998</v>
      </c>
      <c r="R28" s="141">
        <f t="shared" si="11"/>
        <v>1628045.9999999998</v>
      </c>
      <c r="S28" s="141">
        <f t="shared" si="11"/>
        <v>1628045.9999999998</v>
      </c>
      <c r="T28" s="141">
        <f t="shared" si="11"/>
        <v>1628045.9999999998</v>
      </c>
      <c r="U28" s="141">
        <f t="shared" si="11"/>
        <v>1628045.9999999998</v>
      </c>
      <c r="V28" s="141">
        <f t="shared" si="11"/>
        <v>1628045.9999999998</v>
      </c>
      <c r="W28" s="141">
        <f t="shared" si="11"/>
        <v>0</v>
      </c>
      <c r="X28" s="141">
        <f t="shared" si="11"/>
        <v>0</v>
      </c>
      <c r="Y28" s="141">
        <f t="shared" si="11"/>
        <v>0</v>
      </c>
      <c r="Z28" s="141">
        <f t="shared" si="11"/>
        <v>0</v>
      </c>
      <c r="AA28" s="141">
        <f t="shared" si="11"/>
        <v>0</v>
      </c>
      <c r="AB28" s="141">
        <f t="shared" si="11"/>
        <v>0</v>
      </c>
      <c r="AC28" s="141">
        <f t="shared" si="11"/>
        <v>0</v>
      </c>
      <c r="AD28" s="141">
        <f t="shared" si="11"/>
        <v>0</v>
      </c>
      <c r="AE28" s="141">
        <f t="shared" si="11"/>
        <v>0</v>
      </c>
      <c r="AF28" s="141">
        <f t="shared" si="11"/>
        <v>0</v>
      </c>
      <c r="AG28" s="141">
        <f t="shared" si="11"/>
        <v>0</v>
      </c>
      <c r="AH28" s="141">
        <f t="shared" si="11"/>
        <v>0</v>
      </c>
      <c r="AI28" s="141">
        <f t="shared" si="11"/>
        <v>0</v>
      </c>
      <c r="AJ28" s="141">
        <f t="shared" si="11"/>
        <v>0</v>
      </c>
      <c r="AK28" s="141">
        <f t="shared" si="11"/>
        <v>0</v>
      </c>
      <c r="AL28" s="141">
        <f t="shared" si="11"/>
        <v>0</v>
      </c>
      <c r="AM28" s="141">
        <f t="shared" si="11"/>
        <v>0</v>
      </c>
      <c r="AN28" s="141">
        <f t="shared" si="11"/>
        <v>0</v>
      </c>
      <c r="AO28" s="141">
        <f t="shared" si="11"/>
        <v>0</v>
      </c>
      <c r="AP28" s="141">
        <f t="shared" si="11"/>
        <v>0</v>
      </c>
      <c r="AQ28" s="141">
        <f t="shared" si="11"/>
        <v>0</v>
      </c>
      <c r="AR28" s="141">
        <f t="shared" si="11"/>
        <v>0</v>
      </c>
      <c r="AS28" s="141">
        <f t="shared" si="11"/>
        <v>0</v>
      </c>
    </row>
    <row r="29" spans="1:45" x14ac:dyDescent="0.25">
      <c r="B29" s="139" t="s">
        <v>196</v>
      </c>
      <c r="D29" s="143">
        <f>SUM(E29:AS29)</f>
        <v>24382460</v>
      </c>
      <c r="E29" s="156"/>
      <c r="F29" s="156"/>
      <c r="G29" s="156"/>
      <c r="H29" s="156"/>
      <c r="I29" s="156"/>
      <c r="J29" s="156"/>
      <c r="K29" s="156"/>
      <c r="L29" s="158"/>
      <c r="M29" s="156"/>
      <c r="N29" s="156"/>
      <c r="O29" s="156"/>
      <c r="P29" s="156"/>
      <c r="Q29" s="156"/>
      <c r="R29" s="156"/>
      <c r="S29" s="156"/>
      <c r="T29" s="157"/>
      <c r="U29" s="156"/>
      <c r="V29" s="156">
        <v>12191230</v>
      </c>
      <c r="W29" s="156"/>
      <c r="X29" s="156"/>
      <c r="Y29" s="156"/>
      <c r="Z29" s="158"/>
      <c r="AA29" s="156"/>
      <c r="AB29" s="156"/>
      <c r="AC29" s="156"/>
      <c r="AD29" s="156"/>
      <c r="AE29" s="156"/>
      <c r="AF29" s="156"/>
      <c r="AG29" s="156"/>
      <c r="AH29" s="156"/>
      <c r="AI29" s="156"/>
      <c r="AJ29" s="156"/>
      <c r="AK29" s="156"/>
      <c r="AL29" s="156"/>
      <c r="AM29" s="156"/>
      <c r="AN29" s="156">
        <v>12191230</v>
      </c>
      <c r="AO29" s="156"/>
      <c r="AP29" s="156"/>
      <c r="AQ29" s="156"/>
      <c r="AR29" s="156"/>
      <c r="AS29" s="156"/>
    </row>
    <row r="30" spans="1:45" x14ac:dyDescent="0.25">
      <c r="B30" s="139" t="s">
        <v>197</v>
      </c>
      <c r="D30" s="143">
        <f>SUM(E30:AS30)</f>
        <v>7235232</v>
      </c>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v>7235232</v>
      </c>
      <c r="AJ30" s="156"/>
      <c r="AK30" s="156"/>
      <c r="AL30" s="156"/>
      <c r="AM30" s="156"/>
      <c r="AN30" s="156"/>
      <c r="AO30" s="156"/>
      <c r="AP30" s="156"/>
      <c r="AQ30" s="156"/>
      <c r="AR30" s="156"/>
      <c r="AS30" s="156"/>
    </row>
    <row r="31" spans="1:45" x14ac:dyDescent="0.25">
      <c r="B31" s="139" t="s">
        <v>198</v>
      </c>
      <c r="D31" s="143">
        <f>SUM(E31:AS31)</f>
        <v>0</v>
      </c>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row>
    <row r="32" spans="1:45" x14ac:dyDescent="0.25">
      <c r="B32" s="139" t="s">
        <v>199</v>
      </c>
      <c r="D32" s="143">
        <f>SUM(E32:AS32)</f>
        <v>78720936</v>
      </c>
      <c r="E32" s="140">
        <f t="shared" ref="E32:AS32" si="12">SUM(E27:E31)</f>
        <v>19426462</v>
      </c>
      <c r="F32" s="140">
        <f t="shared" si="12"/>
        <v>1628045.9999999998</v>
      </c>
      <c r="G32" s="140">
        <f t="shared" si="12"/>
        <v>1628045.9999999998</v>
      </c>
      <c r="H32" s="140">
        <f t="shared" si="12"/>
        <v>1628045.9999999998</v>
      </c>
      <c r="I32" s="140">
        <f t="shared" si="12"/>
        <v>1628045.9999999998</v>
      </c>
      <c r="J32" s="140">
        <f t="shared" si="12"/>
        <v>1628045.9999999998</v>
      </c>
      <c r="K32" s="140">
        <f t="shared" si="12"/>
        <v>1628045.9999999998</v>
      </c>
      <c r="L32" s="140">
        <f t="shared" si="12"/>
        <v>1628045.9999999998</v>
      </c>
      <c r="M32" s="140">
        <f t="shared" si="12"/>
        <v>1628045.9999999998</v>
      </c>
      <c r="N32" s="140">
        <f t="shared" si="12"/>
        <v>1628045.9999999998</v>
      </c>
      <c r="O32" s="140">
        <f t="shared" si="12"/>
        <v>1628045.9999999998</v>
      </c>
      <c r="P32" s="140">
        <f t="shared" si="12"/>
        <v>1628045.9999999998</v>
      </c>
      <c r="Q32" s="140">
        <f t="shared" si="12"/>
        <v>1628045.9999999998</v>
      </c>
      <c r="R32" s="140">
        <f t="shared" si="12"/>
        <v>1628045.9999999998</v>
      </c>
      <c r="S32" s="140">
        <f t="shared" si="12"/>
        <v>1628045.9999999998</v>
      </c>
      <c r="T32" s="140">
        <f t="shared" si="12"/>
        <v>1628045.9999999998</v>
      </c>
      <c r="U32" s="140">
        <f t="shared" si="12"/>
        <v>1628045.9999999998</v>
      </c>
      <c r="V32" s="140">
        <f t="shared" si="12"/>
        <v>13819276</v>
      </c>
      <c r="W32" s="140">
        <f t="shared" si="12"/>
        <v>0</v>
      </c>
      <c r="X32" s="140">
        <f t="shared" si="12"/>
        <v>0</v>
      </c>
      <c r="Y32" s="140">
        <f t="shared" si="12"/>
        <v>0</v>
      </c>
      <c r="Z32" s="140">
        <f t="shared" si="12"/>
        <v>0</v>
      </c>
      <c r="AA32" s="140">
        <f t="shared" si="12"/>
        <v>0</v>
      </c>
      <c r="AB32" s="140">
        <f t="shared" si="12"/>
        <v>0</v>
      </c>
      <c r="AC32" s="140">
        <f t="shared" si="12"/>
        <v>0</v>
      </c>
      <c r="AD32" s="140">
        <f t="shared" si="12"/>
        <v>0</v>
      </c>
      <c r="AE32" s="140">
        <f t="shared" si="12"/>
        <v>0</v>
      </c>
      <c r="AF32" s="140">
        <f t="shared" si="12"/>
        <v>0</v>
      </c>
      <c r="AG32" s="140">
        <f t="shared" si="12"/>
        <v>0</v>
      </c>
      <c r="AH32" s="140">
        <f t="shared" si="12"/>
        <v>0</v>
      </c>
      <c r="AI32" s="140">
        <f t="shared" si="12"/>
        <v>7235232</v>
      </c>
      <c r="AJ32" s="140">
        <f t="shared" si="12"/>
        <v>0</v>
      </c>
      <c r="AK32" s="140">
        <f t="shared" si="12"/>
        <v>0</v>
      </c>
      <c r="AL32" s="140">
        <f t="shared" si="12"/>
        <v>0</v>
      </c>
      <c r="AM32" s="140">
        <f t="shared" si="12"/>
        <v>0</v>
      </c>
      <c r="AN32" s="140">
        <f t="shared" si="12"/>
        <v>12191230</v>
      </c>
      <c r="AO32" s="140">
        <f t="shared" si="12"/>
        <v>0</v>
      </c>
      <c r="AP32" s="140">
        <f t="shared" si="12"/>
        <v>0</v>
      </c>
      <c r="AQ32" s="140">
        <f t="shared" si="12"/>
        <v>0</v>
      </c>
      <c r="AR32" s="140">
        <f t="shared" si="12"/>
        <v>0</v>
      </c>
      <c r="AS32" s="140">
        <f t="shared" si="12"/>
        <v>0</v>
      </c>
    </row>
    <row r="33" spans="1:45" x14ac:dyDescent="0.25">
      <c r="A33" s="139" t="s">
        <v>205</v>
      </c>
      <c r="D33" s="140">
        <f>SUM(D29:D31)</f>
        <v>31617692</v>
      </c>
      <c r="E33" s="140">
        <f t="shared" ref="E33:AS33" si="13">SUM(E29:E31)</f>
        <v>0</v>
      </c>
      <c r="F33" s="140">
        <f t="shared" si="13"/>
        <v>0</v>
      </c>
      <c r="G33" s="140">
        <f t="shared" si="13"/>
        <v>0</v>
      </c>
      <c r="H33" s="140">
        <f t="shared" si="13"/>
        <v>0</v>
      </c>
      <c r="I33" s="140">
        <f t="shared" si="13"/>
        <v>0</v>
      </c>
      <c r="J33" s="140">
        <f t="shared" si="13"/>
        <v>0</v>
      </c>
      <c r="K33" s="140">
        <f t="shared" si="13"/>
        <v>0</v>
      </c>
      <c r="L33" s="140">
        <f t="shared" si="13"/>
        <v>0</v>
      </c>
      <c r="M33" s="140">
        <f t="shared" si="13"/>
        <v>0</v>
      </c>
      <c r="N33" s="140">
        <f t="shared" si="13"/>
        <v>0</v>
      </c>
      <c r="O33" s="140">
        <f t="shared" si="13"/>
        <v>0</v>
      </c>
      <c r="P33" s="140">
        <f t="shared" si="13"/>
        <v>0</v>
      </c>
      <c r="Q33" s="140">
        <f t="shared" si="13"/>
        <v>0</v>
      </c>
      <c r="R33" s="140">
        <f t="shared" si="13"/>
        <v>0</v>
      </c>
      <c r="S33" s="140">
        <f t="shared" si="13"/>
        <v>0</v>
      </c>
      <c r="T33" s="140">
        <f t="shared" si="13"/>
        <v>0</v>
      </c>
      <c r="U33" s="140">
        <f t="shared" si="13"/>
        <v>0</v>
      </c>
      <c r="V33" s="140">
        <f t="shared" si="13"/>
        <v>12191230</v>
      </c>
      <c r="W33" s="140">
        <f t="shared" si="13"/>
        <v>0</v>
      </c>
      <c r="X33" s="140">
        <f t="shared" si="13"/>
        <v>0</v>
      </c>
      <c r="Y33" s="140">
        <f t="shared" si="13"/>
        <v>0</v>
      </c>
      <c r="Z33" s="140">
        <f t="shared" si="13"/>
        <v>0</v>
      </c>
      <c r="AA33" s="140">
        <f t="shared" si="13"/>
        <v>0</v>
      </c>
      <c r="AB33" s="140">
        <f t="shared" si="13"/>
        <v>0</v>
      </c>
      <c r="AC33" s="140">
        <f t="shared" si="13"/>
        <v>0</v>
      </c>
      <c r="AD33" s="140">
        <f t="shared" si="13"/>
        <v>0</v>
      </c>
      <c r="AE33" s="140">
        <f t="shared" si="13"/>
        <v>0</v>
      </c>
      <c r="AF33" s="140">
        <f t="shared" si="13"/>
        <v>0</v>
      </c>
      <c r="AG33" s="140">
        <f t="shared" si="13"/>
        <v>0</v>
      </c>
      <c r="AH33" s="140">
        <f t="shared" si="13"/>
        <v>0</v>
      </c>
      <c r="AI33" s="140">
        <f t="shared" si="13"/>
        <v>7235232</v>
      </c>
      <c r="AJ33" s="140">
        <f t="shared" si="13"/>
        <v>0</v>
      </c>
      <c r="AK33" s="140">
        <f t="shared" si="13"/>
        <v>0</v>
      </c>
      <c r="AL33" s="140">
        <f t="shared" si="13"/>
        <v>0</v>
      </c>
      <c r="AM33" s="140">
        <f t="shared" si="13"/>
        <v>0</v>
      </c>
      <c r="AN33" s="140">
        <f t="shared" si="13"/>
        <v>12191230</v>
      </c>
      <c r="AO33" s="140">
        <f t="shared" si="13"/>
        <v>0</v>
      </c>
      <c r="AP33" s="140">
        <f t="shared" si="13"/>
        <v>0</v>
      </c>
      <c r="AQ33" s="140">
        <f t="shared" si="13"/>
        <v>0</v>
      </c>
      <c r="AR33" s="140">
        <f t="shared" si="13"/>
        <v>0</v>
      </c>
      <c r="AS33" s="140">
        <f t="shared" si="13"/>
        <v>0</v>
      </c>
    </row>
    <row r="34" spans="1:45" x14ac:dyDescent="0.25">
      <c r="A34" s="139" t="s">
        <v>203</v>
      </c>
      <c r="F34" s="140">
        <f t="shared" ref="F34:AS34" si="14">IF(F26&lt;=$B$3,F28,NA())</f>
        <v>1628045.9999999998</v>
      </c>
      <c r="G34" s="140">
        <f t="shared" si="14"/>
        <v>1628045.9999999998</v>
      </c>
      <c r="H34" s="140">
        <f t="shared" si="14"/>
        <v>1628045.9999999998</v>
      </c>
      <c r="I34" s="140">
        <f t="shared" si="14"/>
        <v>1628045.9999999998</v>
      </c>
      <c r="J34" s="140">
        <f t="shared" si="14"/>
        <v>1628045.9999999998</v>
      </c>
      <c r="K34" s="140">
        <f t="shared" si="14"/>
        <v>1628045.9999999998</v>
      </c>
      <c r="L34" s="140">
        <f t="shared" si="14"/>
        <v>1628045.9999999998</v>
      </c>
      <c r="M34" s="140">
        <f t="shared" si="14"/>
        <v>1628045.9999999998</v>
      </c>
      <c r="N34" s="140">
        <f t="shared" si="14"/>
        <v>1628045.9999999998</v>
      </c>
      <c r="O34" s="140">
        <f t="shared" si="14"/>
        <v>1628045.9999999998</v>
      </c>
      <c r="P34" s="140">
        <f t="shared" si="14"/>
        <v>1628045.9999999998</v>
      </c>
      <c r="Q34" s="140">
        <f t="shared" si="14"/>
        <v>1628045.9999999998</v>
      </c>
      <c r="R34" s="140">
        <f t="shared" si="14"/>
        <v>1628045.9999999998</v>
      </c>
      <c r="S34" s="140">
        <f t="shared" si="14"/>
        <v>1628045.9999999998</v>
      </c>
      <c r="T34" s="140">
        <f t="shared" si="14"/>
        <v>1628045.9999999998</v>
      </c>
      <c r="U34" s="140">
        <f t="shared" si="14"/>
        <v>1628045.9999999998</v>
      </c>
      <c r="V34" s="140">
        <f t="shared" si="14"/>
        <v>1628045.9999999998</v>
      </c>
      <c r="W34" s="140" t="e">
        <f t="shared" si="14"/>
        <v>#N/A</v>
      </c>
      <c r="X34" s="140" t="e">
        <f t="shared" si="14"/>
        <v>#N/A</v>
      </c>
      <c r="Y34" s="140" t="e">
        <f t="shared" si="14"/>
        <v>#N/A</v>
      </c>
      <c r="Z34" s="140" t="e">
        <f t="shared" si="14"/>
        <v>#N/A</v>
      </c>
      <c r="AA34" s="140" t="e">
        <f t="shared" si="14"/>
        <v>#N/A</v>
      </c>
      <c r="AB34" s="140" t="e">
        <f t="shared" si="14"/>
        <v>#N/A</v>
      </c>
      <c r="AC34" s="140" t="e">
        <f t="shared" si="14"/>
        <v>#N/A</v>
      </c>
      <c r="AD34" s="140" t="e">
        <f t="shared" si="14"/>
        <v>#N/A</v>
      </c>
      <c r="AE34" s="140" t="e">
        <f t="shared" si="14"/>
        <v>#N/A</v>
      </c>
      <c r="AF34" s="140" t="e">
        <f t="shared" si="14"/>
        <v>#N/A</v>
      </c>
      <c r="AG34" s="140" t="e">
        <f t="shared" si="14"/>
        <v>#N/A</v>
      </c>
      <c r="AH34" s="140" t="e">
        <f t="shared" si="14"/>
        <v>#N/A</v>
      </c>
      <c r="AI34" s="140" t="e">
        <f t="shared" si="14"/>
        <v>#N/A</v>
      </c>
      <c r="AJ34" s="140" t="e">
        <f t="shared" si="14"/>
        <v>#N/A</v>
      </c>
      <c r="AK34" s="140" t="e">
        <f t="shared" si="14"/>
        <v>#N/A</v>
      </c>
      <c r="AL34" s="140" t="e">
        <f t="shared" si="14"/>
        <v>#N/A</v>
      </c>
      <c r="AM34" s="140" t="e">
        <f t="shared" si="14"/>
        <v>#N/A</v>
      </c>
      <c r="AN34" s="140" t="e">
        <f t="shared" si="14"/>
        <v>#N/A</v>
      </c>
      <c r="AO34" s="140" t="e">
        <f t="shared" si="14"/>
        <v>#N/A</v>
      </c>
      <c r="AP34" s="140" t="e">
        <f t="shared" si="14"/>
        <v>#N/A</v>
      </c>
      <c r="AQ34" s="140" t="e">
        <f t="shared" si="14"/>
        <v>#N/A</v>
      </c>
      <c r="AR34" s="140" t="e">
        <f t="shared" si="14"/>
        <v>#N/A</v>
      </c>
      <c r="AS34" s="140" t="e">
        <f t="shared" si="14"/>
        <v>#N/A</v>
      </c>
    </row>
    <row r="35" spans="1:45" x14ac:dyDescent="0.25">
      <c r="A35" s="139" t="s">
        <v>205</v>
      </c>
      <c r="E35" s="140">
        <f>IF(E26&lt;$B$3,E33,NA())</f>
        <v>0</v>
      </c>
      <c r="F35" s="140">
        <f t="shared" ref="F35:AS35" si="15">IF(F26&lt;$B$3,F33,NA())</f>
        <v>0</v>
      </c>
      <c r="G35" s="140">
        <f t="shared" si="15"/>
        <v>0</v>
      </c>
      <c r="H35" s="140">
        <f t="shared" si="15"/>
        <v>0</v>
      </c>
      <c r="I35" s="140">
        <f t="shared" si="15"/>
        <v>0</v>
      </c>
      <c r="J35" s="140">
        <f t="shared" si="15"/>
        <v>0</v>
      </c>
      <c r="K35" s="140">
        <f t="shared" si="15"/>
        <v>0</v>
      </c>
      <c r="L35" s="140">
        <f t="shared" si="15"/>
        <v>0</v>
      </c>
      <c r="M35" s="140">
        <f t="shared" si="15"/>
        <v>0</v>
      </c>
      <c r="N35" s="140">
        <f t="shared" si="15"/>
        <v>0</v>
      </c>
      <c r="O35" s="140">
        <f t="shared" si="15"/>
        <v>0</v>
      </c>
      <c r="P35" s="140">
        <f t="shared" si="15"/>
        <v>0</v>
      </c>
      <c r="Q35" s="140">
        <f t="shared" si="15"/>
        <v>0</v>
      </c>
      <c r="R35" s="140">
        <f t="shared" si="15"/>
        <v>0</v>
      </c>
      <c r="S35" s="140">
        <f t="shared" si="15"/>
        <v>0</v>
      </c>
      <c r="T35" s="140">
        <f t="shared" si="15"/>
        <v>0</v>
      </c>
      <c r="U35" s="140">
        <f t="shared" si="15"/>
        <v>0</v>
      </c>
      <c r="V35" s="140">
        <f t="shared" si="15"/>
        <v>12191230</v>
      </c>
      <c r="W35" s="140" t="e">
        <f t="shared" si="15"/>
        <v>#N/A</v>
      </c>
      <c r="X35" s="140" t="e">
        <f t="shared" si="15"/>
        <v>#N/A</v>
      </c>
      <c r="Y35" s="140" t="e">
        <f t="shared" si="15"/>
        <v>#N/A</v>
      </c>
      <c r="Z35" s="140" t="e">
        <f t="shared" si="15"/>
        <v>#N/A</v>
      </c>
      <c r="AA35" s="140" t="e">
        <f t="shared" si="15"/>
        <v>#N/A</v>
      </c>
      <c r="AB35" s="140" t="e">
        <f t="shared" si="15"/>
        <v>#N/A</v>
      </c>
      <c r="AC35" s="140" t="e">
        <f t="shared" si="15"/>
        <v>#N/A</v>
      </c>
      <c r="AD35" s="140" t="e">
        <f t="shared" si="15"/>
        <v>#N/A</v>
      </c>
      <c r="AE35" s="140" t="e">
        <f t="shared" si="15"/>
        <v>#N/A</v>
      </c>
      <c r="AF35" s="140" t="e">
        <f t="shared" si="15"/>
        <v>#N/A</v>
      </c>
      <c r="AG35" s="140" t="e">
        <f t="shared" si="15"/>
        <v>#N/A</v>
      </c>
      <c r="AH35" s="140" t="e">
        <f t="shared" si="15"/>
        <v>#N/A</v>
      </c>
      <c r="AI35" s="140" t="e">
        <f t="shared" si="15"/>
        <v>#N/A</v>
      </c>
      <c r="AJ35" s="140" t="e">
        <f t="shared" si="15"/>
        <v>#N/A</v>
      </c>
      <c r="AK35" s="140" t="e">
        <f t="shared" si="15"/>
        <v>#N/A</v>
      </c>
      <c r="AL35" s="140" t="e">
        <f t="shared" si="15"/>
        <v>#N/A</v>
      </c>
      <c r="AM35" s="140" t="e">
        <f t="shared" si="15"/>
        <v>#N/A</v>
      </c>
      <c r="AN35" s="140" t="e">
        <f t="shared" si="15"/>
        <v>#N/A</v>
      </c>
      <c r="AO35" s="140" t="e">
        <f t="shared" si="15"/>
        <v>#N/A</v>
      </c>
      <c r="AP35" s="140" t="e">
        <f t="shared" si="15"/>
        <v>#N/A</v>
      </c>
      <c r="AQ35" s="140" t="e">
        <f t="shared" si="15"/>
        <v>#N/A</v>
      </c>
      <c r="AR35" s="140" t="e">
        <f t="shared" si="15"/>
        <v>#N/A</v>
      </c>
      <c r="AS35" s="140" t="e">
        <f t="shared" si="15"/>
        <v>#N/A</v>
      </c>
    </row>
  </sheetData>
  <sheetProtection algorithmName="SHA-512" hashValue="WIli8OXcdgqXZ/yI+u2AYavLKnqBxOoGAADU65vi1LYobAaAwaqtnl9GssbQnfijinXhh/5Fgdq6hO6Jq5K7Rg==" saltValue="tgHQ8Sd64ekWHvy+cohBvQ==" spinCount="100000" sheet="1" objects="1" scenarios="1" selectLockedCells="1" selectUnlockedCells="1"/>
  <mergeCells count="1">
    <mergeCell ref="E3:AI3"/>
  </mergeCells>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DBEA7-7E2B-462B-8232-26DD0814C1A9}">
  <sheetPr codeName="Hoja10">
    <tabColor rgb="FF00B050"/>
  </sheetPr>
  <dimension ref="A1:AH53"/>
  <sheetViews>
    <sheetView view="pageBreakPreview" topLeftCell="A12" zoomScale="130" zoomScaleNormal="90" zoomScaleSheetLayoutView="130" workbookViewId="0">
      <selection activeCell="B30" sqref="B30:P31"/>
    </sheetView>
  </sheetViews>
  <sheetFormatPr defaultColWidth="5.7109375" defaultRowHeight="15" customHeight="1" x14ac:dyDescent="0.25"/>
  <cols>
    <col min="1" max="2" width="5.7109375" style="134"/>
    <col min="3" max="3" width="5.7109375" style="134" customWidth="1"/>
    <col min="4" max="4" width="5.7109375" style="134"/>
    <col min="5" max="5" width="5.7109375" style="134" customWidth="1"/>
    <col min="6" max="16384" width="5.7109375" style="134"/>
  </cols>
  <sheetData>
    <row r="1" spans="1:34" ht="15" customHeight="1" x14ac:dyDescent="0.25">
      <c r="A1" s="137"/>
      <c r="B1" s="395"/>
      <c r="C1" s="395"/>
      <c r="D1" s="395"/>
      <c r="E1" s="395"/>
      <c r="F1" s="395"/>
      <c r="G1" s="395"/>
      <c r="H1" s="395"/>
      <c r="I1" s="395"/>
      <c r="J1" s="395"/>
      <c r="K1" s="395"/>
      <c r="L1" s="395"/>
      <c r="M1" s="395"/>
      <c r="N1" s="395"/>
      <c r="O1" s="395"/>
      <c r="P1" s="395"/>
      <c r="R1" s="137"/>
      <c r="S1" s="395"/>
      <c r="T1" s="395"/>
      <c r="U1" s="395"/>
      <c r="V1" s="395"/>
      <c r="W1" s="395"/>
      <c r="X1" s="395"/>
      <c r="Y1" s="395"/>
      <c r="Z1" s="395"/>
      <c r="AA1" s="395"/>
      <c r="AB1" s="395"/>
      <c r="AC1" s="395"/>
      <c r="AD1" s="395"/>
      <c r="AE1" s="395"/>
      <c r="AF1" s="395"/>
      <c r="AG1" s="395"/>
    </row>
    <row r="2" spans="1:34" ht="15" customHeight="1" x14ac:dyDescent="0.25">
      <c r="A2" s="137"/>
      <c r="B2" s="395"/>
      <c r="C2" s="395"/>
      <c r="D2" s="395"/>
      <c r="E2" s="395"/>
      <c r="F2" s="395"/>
      <c r="G2" s="395"/>
      <c r="H2" s="395"/>
      <c r="I2" s="395"/>
      <c r="J2" s="395"/>
      <c r="K2" s="395"/>
      <c r="L2" s="395"/>
      <c r="M2" s="395"/>
      <c r="N2" s="395"/>
      <c r="O2" s="395"/>
      <c r="P2" s="395"/>
      <c r="R2" s="137"/>
      <c r="S2" s="395"/>
      <c r="T2" s="395"/>
      <c r="U2" s="395"/>
      <c r="V2" s="395"/>
      <c r="W2" s="395"/>
      <c r="X2" s="395"/>
      <c r="Y2" s="395"/>
      <c r="Z2" s="395"/>
      <c r="AA2" s="395"/>
      <c r="AB2" s="395"/>
      <c r="AC2" s="395"/>
      <c r="AD2" s="395"/>
      <c r="AE2" s="395"/>
      <c r="AF2" s="395"/>
      <c r="AG2" s="395"/>
    </row>
    <row r="3" spans="1:34" ht="15" customHeight="1" x14ac:dyDescent="0.25">
      <c r="A3" s="137"/>
      <c r="B3" s="395"/>
      <c r="C3" s="395"/>
      <c r="D3" s="395"/>
      <c r="E3" s="395"/>
      <c r="F3" s="395"/>
      <c r="G3" s="395"/>
      <c r="H3" s="395"/>
      <c r="I3" s="395"/>
      <c r="J3" s="395"/>
      <c r="K3" s="395"/>
      <c r="L3" s="395"/>
      <c r="M3" s="395"/>
      <c r="N3" s="395"/>
      <c r="O3" s="395"/>
      <c r="P3" s="395"/>
      <c r="R3" s="137"/>
      <c r="S3" s="395"/>
      <c r="T3" s="395"/>
      <c r="U3" s="395"/>
      <c r="V3" s="395"/>
      <c r="W3" s="395"/>
      <c r="X3" s="395"/>
      <c r="Y3" s="395"/>
      <c r="Z3" s="395"/>
      <c r="AA3" s="395"/>
      <c r="AB3" s="395"/>
      <c r="AC3" s="395"/>
      <c r="AD3" s="395"/>
      <c r="AE3" s="395"/>
      <c r="AF3" s="395"/>
      <c r="AG3" s="395"/>
    </row>
    <row r="4" spans="1:34" ht="15" customHeight="1" x14ac:dyDescent="0.25">
      <c r="A4" s="137"/>
      <c r="B4" s="395"/>
      <c r="C4" s="395"/>
      <c r="D4" s="395"/>
      <c r="E4" s="395"/>
      <c r="F4" s="395"/>
      <c r="G4" s="395"/>
      <c r="H4" s="395"/>
      <c r="I4" s="395"/>
      <c r="J4" s="395"/>
      <c r="K4" s="395"/>
      <c r="L4" s="395"/>
      <c r="M4" s="395"/>
      <c r="N4" s="395"/>
      <c r="O4" s="395"/>
      <c r="P4" s="395"/>
      <c r="Q4"/>
      <c r="R4" s="137"/>
      <c r="S4" s="395"/>
      <c r="T4" s="395"/>
      <c r="U4" s="395"/>
      <c r="V4" s="395"/>
      <c r="W4" s="395"/>
      <c r="X4" s="395"/>
      <c r="Y4" s="395"/>
      <c r="Z4" s="395"/>
      <c r="AA4" s="395"/>
      <c r="AB4" s="395"/>
      <c r="AC4" s="395"/>
      <c r="AD4" s="395"/>
      <c r="AE4" s="395"/>
      <c r="AF4" s="395"/>
      <c r="AG4" s="395"/>
    </row>
    <row r="5" spans="1:34" ht="15" customHeight="1" x14ac:dyDescent="0.25">
      <c r="A5" s="136"/>
      <c r="B5" s="395"/>
      <c r="C5" s="395"/>
      <c r="D5" s="395"/>
      <c r="E5" s="395"/>
      <c r="F5" s="395"/>
      <c r="G5" s="395"/>
      <c r="H5" s="395"/>
      <c r="I5" s="395"/>
      <c r="J5" s="395"/>
      <c r="K5" s="395"/>
      <c r="L5" s="395"/>
      <c r="M5" s="395"/>
      <c r="N5" s="395"/>
      <c r="O5" s="395"/>
      <c r="P5" s="395"/>
      <c r="R5" s="136"/>
      <c r="S5" s="395"/>
      <c r="T5" s="395"/>
      <c r="U5" s="395"/>
      <c r="V5" s="395"/>
      <c r="W5" s="395"/>
      <c r="X5" s="395"/>
      <c r="Y5" s="395"/>
      <c r="Z5" s="395"/>
      <c r="AA5" s="395"/>
      <c r="AB5" s="395"/>
      <c r="AC5" s="395"/>
      <c r="AD5" s="395"/>
      <c r="AE5" s="395"/>
      <c r="AF5" s="395"/>
      <c r="AG5" s="395"/>
    </row>
    <row r="6" spans="1:34" ht="15" customHeight="1" x14ac:dyDescent="0.25">
      <c r="A6" s="136"/>
      <c r="B6" s="396"/>
      <c r="C6" s="396"/>
      <c r="D6" s="396"/>
      <c r="E6" s="396"/>
      <c r="F6" s="396"/>
      <c r="G6" s="396"/>
      <c r="H6" s="396"/>
      <c r="I6" s="396"/>
      <c r="J6" s="396"/>
      <c r="K6" s="396"/>
      <c r="L6" s="396"/>
      <c r="M6" s="396"/>
      <c r="N6" s="396"/>
      <c r="O6" s="396"/>
      <c r="P6" s="396"/>
      <c r="R6" s="136"/>
      <c r="S6" s="396"/>
      <c r="T6" s="396"/>
      <c r="U6" s="396"/>
      <c r="V6" s="396"/>
      <c r="W6" s="396"/>
      <c r="X6" s="396"/>
      <c r="Y6" s="396"/>
      <c r="Z6" s="396"/>
      <c r="AA6" s="396"/>
      <c r="AB6" s="396"/>
      <c r="AC6" s="396"/>
      <c r="AD6" s="396"/>
      <c r="AE6" s="396"/>
      <c r="AF6" s="396"/>
      <c r="AG6" s="396"/>
    </row>
    <row r="7" spans="1:34" ht="15" customHeight="1" x14ac:dyDescent="0.25">
      <c r="B7" s="374" t="s">
        <v>254</v>
      </c>
      <c r="C7" s="374"/>
      <c r="D7" s="374"/>
      <c r="E7" s="374"/>
      <c r="F7" s="374"/>
      <c r="G7" s="374"/>
      <c r="H7" s="374"/>
      <c r="I7" s="374"/>
      <c r="J7" s="374"/>
      <c r="K7" s="374"/>
      <c r="L7" s="374"/>
      <c r="M7" s="374"/>
      <c r="N7" s="374"/>
      <c r="O7" s="374"/>
      <c r="P7" s="374"/>
      <c r="Q7" s="138"/>
      <c r="S7" s="144"/>
      <c r="T7" s="144"/>
      <c r="U7" s="144"/>
      <c r="V7" s="144"/>
      <c r="W7" s="144"/>
      <c r="X7" s="144"/>
      <c r="Y7" s="144"/>
      <c r="Z7" s="144"/>
      <c r="AA7" s="144"/>
      <c r="AB7" s="144"/>
      <c r="AC7" s="144"/>
      <c r="AD7" s="144"/>
      <c r="AE7" s="144"/>
      <c r="AF7" s="144"/>
      <c r="AG7" s="144"/>
      <c r="AH7" s="138"/>
    </row>
    <row r="8" spans="1:34" ht="15" customHeight="1" x14ac:dyDescent="0.25">
      <c r="A8" s="138"/>
      <c r="B8" s="375"/>
      <c r="C8" s="375"/>
      <c r="D8" s="375"/>
      <c r="E8" s="375"/>
      <c r="F8" s="375"/>
      <c r="G8" s="375"/>
      <c r="H8" s="375"/>
      <c r="I8" s="375"/>
      <c r="J8" s="375"/>
      <c r="K8" s="375"/>
      <c r="L8" s="375"/>
      <c r="M8" s="375"/>
      <c r="N8" s="375"/>
      <c r="O8" s="375"/>
      <c r="P8" s="375"/>
      <c r="Q8" s="138"/>
      <c r="R8" s="138"/>
      <c r="S8" s="372" t="s">
        <v>208</v>
      </c>
      <c r="T8" s="372"/>
      <c r="U8" s="372"/>
      <c r="V8" s="372"/>
      <c r="W8" s="372"/>
      <c r="X8" s="372"/>
      <c r="Y8" s="372"/>
      <c r="Z8" s="372"/>
      <c r="AA8" s="372"/>
      <c r="AB8" s="372"/>
      <c r="AC8" s="372"/>
      <c r="AD8" s="372"/>
      <c r="AE8" s="372"/>
      <c r="AF8" s="372"/>
      <c r="AG8" s="372"/>
      <c r="AH8" s="138"/>
    </row>
    <row r="9" spans="1:34" ht="15" customHeight="1" x14ac:dyDescent="0.25">
      <c r="A9" s="138"/>
      <c r="B9" s="375"/>
      <c r="C9" s="375"/>
      <c r="D9" s="375"/>
      <c r="E9" s="375"/>
      <c r="F9" s="375"/>
      <c r="G9" s="375"/>
      <c r="H9" s="375"/>
      <c r="I9" s="375"/>
      <c r="J9" s="375"/>
      <c r="K9" s="375"/>
      <c r="L9" s="375"/>
      <c r="M9" s="375"/>
      <c r="N9" s="375"/>
      <c r="O9" s="375"/>
      <c r="P9" s="375"/>
      <c r="Q9" s="138"/>
      <c r="R9" s="138"/>
      <c r="S9" s="138"/>
      <c r="T9" s="138"/>
      <c r="U9" s="138"/>
      <c r="V9" s="138"/>
      <c r="W9" s="138"/>
      <c r="X9" s="138"/>
      <c r="Y9" s="138"/>
      <c r="Z9" s="138"/>
      <c r="AA9" s="138"/>
      <c r="AB9" s="138"/>
      <c r="AC9" s="138"/>
      <c r="AD9" s="138"/>
      <c r="AE9" s="138"/>
      <c r="AF9" s="138"/>
      <c r="AG9" s="138"/>
      <c r="AH9" s="138"/>
    </row>
    <row r="10" spans="1:34" ht="15" customHeight="1" x14ac:dyDescent="0.25">
      <c r="A10" s="138"/>
      <c r="B10" s="375"/>
      <c r="C10" s="375"/>
      <c r="D10" s="375"/>
      <c r="E10" s="375"/>
      <c r="F10" s="375"/>
      <c r="G10" s="375"/>
      <c r="H10" s="375"/>
      <c r="I10" s="375"/>
      <c r="J10" s="375"/>
      <c r="K10" s="375"/>
      <c r="L10" s="375"/>
      <c r="M10" s="375"/>
      <c r="N10" s="375"/>
      <c r="O10" s="375"/>
      <c r="P10" s="375"/>
      <c r="Q10" s="138"/>
      <c r="R10" s="138"/>
      <c r="S10" s="371" t="s">
        <v>224</v>
      </c>
      <c r="T10" s="371"/>
      <c r="U10" s="371"/>
      <c r="V10" s="371"/>
      <c r="W10" s="371"/>
      <c r="X10" s="371"/>
      <c r="Y10" s="371"/>
      <c r="Z10" s="371"/>
      <c r="AA10" s="371"/>
      <c r="AB10" s="371"/>
      <c r="AC10" s="371"/>
      <c r="AD10" s="371"/>
      <c r="AE10" s="371"/>
      <c r="AF10" s="371"/>
      <c r="AG10" s="371"/>
      <c r="AH10" s="138"/>
    </row>
    <row r="11" spans="1:34" ht="15" customHeight="1" x14ac:dyDescent="0.25">
      <c r="A11" s="133"/>
      <c r="B11" s="373" t="s">
        <v>233</v>
      </c>
      <c r="C11" s="373"/>
      <c r="D11" s="373"/>
      <c r="E11" s="373"/>
      <c r="F11" s="373"/>
      <c r="G11" s="398" t="str">
        <f>CONCATENATE(Cálculo!T5,", Mat. Profesional N°. ",Cálculo!T11)</f>
        <v>Angélica Vargas, Mat. Profesional N°. A12345678</v>
      </c>
      <c r="H11" s="398"/>
      <c r="I11" s="398"/>
      <c r="J11" s="398"/>
      <c r="K11" s="398"/>
      <c r="L11" s="398"/>
      <c r="M11" s="398"/>
      <c r="N11" s="398"/>
      <c r="O11" s="398"/>
      <c r="P11" s="398"/>
      <c r="Q11" s="133"/>
      <c r="R11" s="133"/>
      <c r="S11" s="371"/>
      <c r="T11" s="371"/>
      <c r="U11" s="371"/>
      <c r="V11" s="371"/>
      <c r="W11" s="371"/>
      <c r="X11" s="371"/>
      <c r="Y11" s="371"/>
      <c r="Z11" s="371"/>
      <c r="AA11" s="371"/>
      <c r="AB11" s="371"/>
      <c r="AC11" s="371"/>
      <c r="AD11" s="371"/>
      <c r="AE11" s="371"/>
      <c r="AF11" s="371"/>
      <c r="AG11" s="371"/>
      <c r="AH11" s="133"/>
    </row>
    <row r="12" spans="1:34" ht="15" customHeight="1" x14ac:dyDescent="0.25">
      <c r="A12" s="133"/>
      <c r="B12" s="373"/>
      <c r="C12" s="373"/>
      <c r="D12" s="373"/>
      <c r="E12" s="373"/>
      <c r="F12" s="373"/>
      <c r="G12" s="398"/>
      <c r="H12" s="398"/>
      <c r="I12" s="398"/>
      <c r="J12" s="398"/>
      <c r="K12" s="398"/>
      <c r="L12" s="398"/>
      <c r="M12" s="398"/>
      <c r="N12" s="398"/>
      <c r="O12" s="398"/>
      <c r="P12" s="398"/>
      <c r="Q12" s="133"/>
      <c r="S12" s="371"/>
      <c r="T12" s="371"/>
      <c r="U12" s="371"/>
      <c r="V12" s="371"/>
      <c r="W12" s="371"/>
      <c r="X12" s="371"/>
      <c r="Y12" s="371"/>
      <c r="Z12" s="371"/>
      <c r="AA12" s="371"/>
      <c r="AB12" s="371"/>
      <c r="AC12" s="371"/>
      <c r="AD12" s="371"/>
      <c r="AE12" s="371"/>
      <c r="AF12" s="371"/>
      <c r="AG12" s="371"/>
    </row>
    <row r="13" spans="1:34" ht="15" customHeight="1" x14ac:dyDescent="0.25">
      <c r="A13" s="133"/>
      <c r="B13" s="373"/>
      <c r="C13" s="373"/>
      <c r="D13" s="373"/>
      <c r="E13" s="373"/>
      <c r="F13" s="373"/>
      <c r="G13" s="399" t="str">
        <f>CONCATENATE("Datos de contacto: ",Cálculo!T7,", Tel. ",Cálculo!T9,".")</f>
        <v>Datos de contacto: anvargasch@unal.edu.co, Tel. 123456789.</v>
      </c>
      <c r="H13" s="399"/>
      <c r="I13" s="399"/>
      <c r="J13" s="399"/>
      <c r="K13" s="399"/>
      <c r="L13" s="399"/>
      <c r="M13" s="399"/>
      <c r="N13" s="399"/>
      <c r="O13" s="399"/>
      <c r="P13" s="399"/>
      <c r="Q13" s="133"/>
      <c r="S13" s="371"/>
      <c r="T13" s="371"/>
      <c r="U13" s="371"/>
      <c r="V13" s="371"/>
      <c r="W13" s="371"/>
      <c r="X13" s="371"/>
      <c r="Y13" s="371"/>
      <c r="Z13" s="371"/>
      <c r="AA13" s="371"/>
      <c r="AB13" s="371"/>
      <c r="AC13" s="371"/>
      <c r="AD13" s="371"/>
      <c r="AE13" s="371"/>
      <c r="AF13" s="371"/>
      <c r="AG13" s="371"/>
    </row>
    <row r="14" spans="1:34" ht="15" customHeight="1" x14ac:dyDescent="0.25">
      <c r="A14" s="133"/>
      <c r="B14" s="376" t="s">
        <v>232</v>
      </c>
      <c r="C14" s="376"/>
      <c r="D14" s="376"/>
      <c r="E14" s="376"/>
      <c r="F14" s="376"/>
      <c r="G14" s="376"/>
      <c r="H14" s="376"/>
      <c r="I14" s="376"/>
      <c r="J14" s="376"/>
      <c r="K14" s="376"/>
      <c r="L14" s="376"/>
      <c r="M14" s="376"/>
      <c r="N14" s="376"/>
      <c r="O14" s="376"/>
      <c r="P14" s="376"/>
      <c r="Q14" s="133"/>
    </row>
    <row r="15" spans="1:34" ht="15" customHeight="1" x14ac:dyDescent="0.25">
      <c r="A15" s="133"/>
      <c r="B15" s="376"/>
      <c r="C15" s="376"/>
      <c r="D15" s="376"/>
      <c r="E15" s="376"/>
      <c r="F15" s="376"/>
      <c r="G15" s="376"/>
      <c r="H15" s="376"/>
      <c r="I15" s="376"/>
      <c r="J15" s="376"/>
      <c r="K15" s="376"/>
      <c r="L15" s="376"/>
      <c r="M15" s="376"/>
      <c r="N15" s="376"/>
      <c r="O15" s="376"/>
      <c r="P15" s="376"/>
      <c r="Q15" s="133"/>
    </row>
    <row r="16" spans="1:34" ht="15" customHeight="1" x14ac:dyDescent="0.25">
      <c r="A16" s="133"/>
      <c r="B16" s="372" t="s">
        <v>179</v>
      </c>
      <c r="C16" s="372"/>
      <c r="D16" s="372"/>
      <c r="E16" s="372"/>
      <c r="F16" s="372"/>
      <c r="G16" s="372" t="s">
        <v>180</v>
      </c>
      <c r="H16" s="372"/>
      <c r="I16" s="372"/>
      <c r="J16" s="372"/>
      <c r="K16" s="372"/>
      <c r="L16" s="372" t="s">
        <v>181</v>
      </c>
      <c r="M16" s="372"/>
      <c r="N16" s="372"/>
      <c r="O16" s="372"/>
      <c r="P16" s="372"/>
      <c r="Q16" s="133"/>
    </row>
    <row r="17" spans="1:33" ht="15" customHeight="1" x14ac:dyDescent="0.25">
      <c r="A17" s="133"/>
      <c r="B17" s="349" t="str">
        <f>Cálculo!D3</f>
        <v>Luxamérica 2024</v>
      </c>
      <c r="C17" s="349"/>
      <c r="D17" s="349"/>
      <c r="E17" s="349"/>
      <c r="F17" s="349"/>
      <c r="G17" s="349" t="str">
        <f>Cálculo!L5</f>
        <v>Bogotá</v>
      </c>
      <c r="H17" s="349"/>
      <c r="I17" s="349"/>
      <c r="J17" s="349"/>
      <c r="K17" s="349"/>
      <c r="L17" s="349" t="str">
        <f>Cálculo!D5</f>
        <v>Bogotá</v>
      </c>
      <c r="M17" s="349"/>
      <c r="N17" s="349"/>
      <c r="O17" s="349"/>
      <c r="P17" s="349"/>
      <c r="Q17" s="133"/>
    </row>
    <row r="18" spans="1:33" ht="15" customHeight="1" x14ac:dyDescent="0.25">
      <c r="A18" s="133"/>
      <c r="B18" s="372" t="s">
        <v>182</v>
      </c>
      <c r="C18" s="372"/>
      <c r="D18" s="372"/>
      <c r="E18" s="372"/>
      <c r="F18" s="372"/>
      <c r="G18" s="372" t="s">
        <v>186</v>
      </c>
      <c r="H18" s="372"/>
      <c r="I18" s="372"/>
      <c r="J18" s="372"/>
      <c r="K18" s="372"/>
      <c r="L18" s="372" t="s">
        <v>183</v>
      </c>
      <c r="M18" s="372"/>
      <c r="N18" s="372"/>
      <c r="O18" s="372"/>
      <c r="P18" s="372"/>
      <c r="Q18" s="133"/>
    </row>
    <row r="19" spans="1:33" ht="15" customHeight="1" x14ac:dyDescent="0.25">
      <c r="A19" s="133"/>
      <c r="B19" s="349" t="str">
        <f>Cálculo!D7</f>
        <v>Sistema vial (M5-M6)</v>
      </c>
      <c r="C19" s="349"/>
      <c r="D19" s="349"/>
      <c r="E19" s="349"/>
      <c r="F19" s="349"/>
      <c r="G19" s="349" t="s">
        <v>213</v>
      </c>
      <c r="H19" s="349"/>
      <c r="I19" s="349"/>
      <c r="J19" s="349"/>
      <c r="K19" s="349"/>
      <c r="L19" s="349" t="str">
        <f>Cálculo!D9</f>
        <v xml:space="preserve">Ampliación </v>
      </c>
      <c r="M19" s="349"/>
      <c r="N19" s="349"/>
      <c r="O19" s="349"/>
      <c r="P19" s="349"/>
      <c r="Q19" s="133"/>
    </row>
    <row r="20" spans="1:33" ht="15" customHeight="1" x14ac:dyDescent="0.25">
      <c r="A20" s="133"/>
      <c r="Q20" s="133"/>
    </row>
    <row r="21" spans="1:33" ht="15" customHeight="1" x14ac:dyDescent="0.25">
      <c r="A21" s="133"/>
      <c r="B21" s="350" t="s">
        <v>184</v>
      </c>
      <c r="C21" s="350"/>
      <c r="D21" s="350"/>
      <c r="E21" s="350"/>
      <c r="F21" s="350"/>
      <c r="Q21" s="133"/>
    </row>
    <row r="22" spans="1:33" ht="15" customHeight="1" x14ac:dyDescent="0.25">
      <c r="A22" s="133"/>
      <c r="B22" s="350"/>
      <c r="C22" s="350"/>
      <c r="D22" s="350"/>
      <c r="E22" s="350"/>
      <c r="F22" s="350"/>
      <c r="Q22" s="133"/>
    </row>
    <row r="23" spans="1:33" ht="15" customHeight="1" x14ac:dyDescent="0.25">
      <c r="A23" s="133"/>
      <c r="B23" s="333" t="s">
        <v>176</v>
      </c>
      <c r="C23" s="333"/>
      <c r="D23" s="333"/>
      <c r="E23" s="333"/>
      <c r="F23" s="333"/>
      <c r="Q23" s="133"/>
    </row>
    <row r="24" spans="1:33" ht="15" customHeight="1" x14ac:dyDescent="0.25">
      <c r="A24" s="133"/>
      <c r="B24" s="349">
        <f>Cálculo!N11</f>
        <v>17.5</v>
      </c>
      <c r="C24" s="349"/>
      <c r="D24" s="349"/>
      <c r="E24" s="349"/>
      <c r="F24" s="349"/>
      <c r="Q24" s="133"/>
    </row>
    <row r="25" spans="1:33" ht="15" customHeight="1" x14ac:dyDescent="0.25">
      <c r="A25" s="133"/>
      <c r="B25" s="333" t="s">
        <v>185</v>
      </c>
      <c r="C25" s="333"/>
      <c r="D25" s="333"/>
      <c r="E25" s="333"/>
      <c r="F25" s="333"/>
      <c r="Q25" s="133"/>
    </row>
    <row r="26" spans="1:33" ht="15" customHeight="1" x14ac:dyDescent="0.25">
      <c r="B26" s="394">
        <f>Cálculo!N9</f>
        <v>0.12089999999999999</v>
      </c>
      <c r="C26" s="394"/>
      <c r="D26" s="394"/>
      <c r="E26" s="394"/>
      <c r="F26" s="394"/>
      <c r="Q26" s="97"/>
      <c r="S26" s="147"/>
      <c r="T26" s="147"/>
      <c r="U26" s="147"/>
      <c r="V26" s="147"/>
      <c r="W26" s="147"/>
      <c r="X26" s="147"/>
      <c r="Y26" s="147"/>
      <c r="Z26" s="147"/>
      <c r="AA26" s="147"/>
      <c r="AB26" s="147"/>
      <c r="AC26" s="147"/>
      <c r="AD26" s="147"/>
      <c r="AE26" s="147"/>
      <c r="AF26" s="147"/>
      <c r="AG26" s="147"/>
    </row>
    <row r="27" spans="1:33" ht="15" customHeight="1" x14ac:dyDescent="0.25">
      <c r="A27" s="97"/>
      <c r="B27" s="333" t="s">
        <v>175</v>
      </c>
      <c r="C27" s="333"/>
      <c r="D27" s="333"/>
      <c r="E27" s="333"/>
      <c r="F27" s="333"/>
      <c r="Q27" s="97"/>
    </row>
    <row r="28" spans="1:33" ht="15" customHeight="1" x14ac:dyDescent="0.25">
      <c r="B28" s="392">
        <f>Cálculo!N13</f>
        <v>900</v>
      </c>
      <c r="C28" s="393"/>
      <c r="D28" s="393"/>
      <c r="E28" s="393"/>
      <c r="F28" s="393"/>
    </row>
    <row r="30" spans="1:33" ht="15" customHeight="1" x14ac:dyDescent="0.25">
      <c r="B30" s="397" t="s">
        <v>172</v>
      </c>
      <c r="C30" s="397"/>
      <c r="D30" s="397"/>
      <c r="E30" s="397"/>
      <c r="F30" s="397"/>
      <c r="G30" s="397"/>
      <c r="H30" s="397"/>
      <c r="I30" s="397"/>
      <c r="J30" s="397"/>
      <c r="K30" s="397"/>
      <c r="L30" s="397"/>
      <c r="M30" s="397"/>
      <c r="N30" s="397"/>
      <c r="O30" s="397"/>
      <c r="P30" s="397"/>
    </row>
    <row r="31" spans="1:33" ht="15" customHeight="1" x14ac:dyDescent="0.25">
      <c r="B31" s="397"/>
      <c r="C31" s="397"/>
      <c r="D31" s="397"/>
      <c r="E31" s="397"/>
      <c r="F31" s="397"/>
      <c r="G31" s="397"/>
      <c r="H31" s="397"/>
      <c r="I31" s="397"/>
      <c r="J31" s="397"/>
      <c r="K31" s="397"/>
      <c r="L31" s="397"/>
      <c r="M31" s="397"/>
      <c r="N31" s="397"/>
      <c r="O31" s="397"/>
      <c r="P31" s="397"/>
    </row>
    <row r="32" spans="1:33" ht="15" customHeight="1" x14ac:dyDescent="0.25">
      <c r="B32" s="340" t="s">
        <v>173</v>
      </c>
      <c r="C32" s="341"/>
      <c r="D32" s="341"/>
      <c r="E32" s="342"/>
      <c r="F32" s="334" t="s">
        <v>187</v>
      </c>
      <c r="G32" s="335"/>
      <c r="H32" s="334" t="s">
        <v>188</v>
      </c>
      <c r="I32" s="335"/>
      <c r="J32" s="334" t="s">
        <v>189</v>
      </c>
      <c r="K32" s="335"/>
      <c r="L32" s="334" t="s">
        <v>190</v>
      </c>
      <c r="M32" s="335"/>
      <c r="N32" s="334" t="s">
        <v>191</v>
      </c>
      <c r="O32" s="378"/>
      <c r="P32" s="335"/>
    </row>
    <row r="33" spans="1:33" ht="15" customHeight="1" x14ac:dyDescent="0.25">
      <c r="B33" s="343"/>
      <c r="C33" s="344"/>
      <c r="D33" s="344"/>
      <c r="E33" s="345"/>
      <c r="F33" s="336"/>
      <c r="G33" s="337"/>
      <c r="H33" s="336"/>
      <c r="I33" s="337"/>
      <c r="J33" s="336"/>
      <c r="K33" s="337"/>
      <c r="L33" s="336"/>
      <c r="M33" s="337"/>
      <c r="N33" s="336"/>
      <c r="O33" s="379"/>
      <c r="P33" s="337"/>
    </row>
    <row r="34" spans="1:33" ht="15" customHeight="1" x14ac:dyDescent="0.25">
      <c r="B34" s="346"/>
      <c r="C34" s="347"/>
      <c r="D34" s="347"/>
      <c r="E34" s="348"/>
      <c r="F34" s="338"/>
      <c r="G34" s="339"/>
      <c r="H34" s="338"/>
      <c r="I34" s="339"/>
      <c r="J34" s="338"/>
      <c r="K34" s="339"/>
      <c r="L34" s="338"/>
      <c r="M34" s="339"/>
      <c r="N34" s="338"/>
      <c r="O34" s="380"/>
      <c r="P34" s="339"/>
    </row>
    <row r="35" spans="1:33" ht="15" customHeight="1" x14ac:dyDescent="0.25">
      <c r="B35" s="389" t="str">
        <f>Cálculo!D11</f>
        <v>SODIO</v>
      </c>
      <c r="C35" s="390"/>
      <c r="D35" s="390"/>
      <c r="E35" s="391"/>
      <c r="F35" s="351">
        <f>Cálculo!G39</f>
        <v>15353222</v>
      </c>
      <c r="G35" s="352"/>
      <c r="H35" s="351">
        <f>+Cálculo!G71</f>
        <v>13900717.666666668</v>
      </c>
      <c r="I35" s="352"/>
      <c r="J35" s="351">
        <f>-PV(B26,B24,H35)</f>
        <v>99374611.508664697</v>
      </c>
      <c r="K35" s="352"/>
      <c r="L35" s="351">
        <f>+J35+F35</f>
        <v>114727833.5086647</v>
      </c>
      <c r="M35" s="352"/>
      <c r="N35" s="368">
        <f>-PMT(B26,B24,L35)</f>
        <v>16048356.797583388</v>
      </c>
      <c r="O35" s="369"/>
      <c r="P35" s="370"/>
      <c r="Q35" s="135"/>
    </row>
    <row r="36" spans="1:33" ht="15" customHeight="1" x14ac:dyDescent="0.25">
      <c r="B36" s="389" t="str">
        <f>Cálculo!D13</f>
        <v>CMH</v>
      </c>
      <c r="C36" s="390"/>
      <c r="D36" s="390"/>
      <c r="E36" s="391"/>
      <c r="F36" s="351">
        <f>Cálculo!N39</f>
        <v>15046582</v>
      </c>
      <c r="G36" s="352"/>
      <c r="H36" s="351">
        <f>+Cálculo!N71</f>
        <v>13491864.333333336</v>
      </c>
      <c r="I36" s="352"/>
      <c r="J36" s="351">
        <f>-PV(B26,B24,H36)</f>
        <v>96451766.649981573</v>
      </c>
      <c r="K36" s="352"/>
      <c r="L36" s="351">
        <f>+J36+F36</f>
        <v>111498348.64998157</v>
      </c>
      <c r="M36" s="352"/>
      <c r="N36" s="368">
        <f>-PMT(B26,B24,L36)</f>
        <v>15596610.05314037</v>
      </c>
      <c r="O36" s="369"/>
      <c r="P36" s="370"/>
      <c r="Q36" s="97"/>
    </row>
    <row r="37" spans="1:33" ht="15" customHeight="1" x14ac:dyDescent="0.25">
      <c r="A37" s="97"/>
      <c r="B37" s="389" t="str">
        <f>Cálculo!D15</f>
        <v>LED</v>
      </c>
      <c r="C37" s="390"/>
      <c r="D37" s="390"/>
      <c r="E37" s="391"/>
      <c r="F37" s="351">
        <f>+Cálculo!U39</f>
        <v>19426462</v>
      </c>
      <c r="G37" s="352"/>
      <c r="H37" s="351">
        <f>+Cálculo!U71</f>
        <v>1628045.9999999998</v>
      </c>
      <c r="I37" s="352"/>
      <c r="J37" s="351">
        <f>-PV(B26,B24,H37)</f>
        <v>11638711.226844966</v>
      </c>
      <c r="K37" s="352"/>
      <c r="L37" s="351">
        <f>+J37+F37</f>
        <v>31065173.226844966</v>
      </c>
      <c r="M37" s="352"/>
      <c r="N37" s="368">
        <f>-PMT(B26,B24,L37)</f>
        <v>4345458.0172603959</v>
      </c>
      <c r="O37" s="369"/>
      <c r="P37" s="370"/>
      <c r="Q37" s="148"/>
    </row>
    <row r="38" spans="1:33" ht="15" customHeight="1" x14ac:dyDescent="0.25">
      <c r="Q38" s="97"/>
    </row>
    <row r="39" spans="1:33" ht="15" customHeight="1" x14ac:dyDescent="0.25">
      <c r="A39" s="97"/>
      <c r="B39" s="359" t="s">
        <v>210</v>
      </c>
      <c r="C39" s="360"/>
      <c r="D39" s="360"/>
      <c r="E39" s="360"/>
      <c r="F39" s="360"/>
      <c r="G39" s="361"/>
      <c r="H39" s="359" t="s">
        <v>209</v>
      </c>
      <c r="I39" s="360"/>
      <c r="J39" s="361"/>
      <c r="K39" s="359" t="s">
        <v>211</v>
      </c>
      <c r="L39" s="360"/>
      <c r="M39" s="361"/>
      <c r="N39" s="359" t="s">
        <v>212</v>
      </c>
      <c r="O39" s="360"/>
      <c r="P39" s="361"/>
      <c r="Q39" s="97"/>
      <c r="S39" s="147"/>
      <c r="T39" s="147"/>
      <c r="U39" s="147"/>
      <c r="V39" s="147"/>
      <c r="W39" s="147"/>
      <c r="X39" s="147"/>
      <c r="Y39" s="147"/>
      <c r="Z39" s="147"/>
      <c r="AA39" s="147"/>
      <c r="AB39" s="147"/>
      <c r="AC39" s="147"/>
      <c r="AD39" s="147"/>
      <c r="AE39" s="147"/>
      <c r="AF39" s="147"/>
      <c r="AG39" s="147"/>
    </row>
    <row r="40" spans="1:33" ht="15" customHeight="1" x14ac:dyDescent="0.25">
      <c r="B40" s="362"/>
      <c r="C40" s="363"/>
      <c r="D40" s="363"/>
      <c r="E40" s="363"/>
      <c r="F40" s="363"/>
      <c r="G40" s="364"/>
      <c r="H40" s="362"/>
      <c r="I40" s="363"/>
      <c r="J40" s="364"/>
      <c r="K40" s="362"/>
      <c r="L40" s="363"/>
      <c r="M40" s="364"/>
      <c r="N40" s="362"/>
      <c r="O40" s="363"/>
      <c r="P40" s="364"/>
      <c r="Q40" s="97"/>
    </row>
    <row r="41" spans="1:33" ht="15" customHeight="1" x14ac:dyDescent="0.25">
      <c r="A41" s="97"/>
      <c r="B41" s="365" t="str">
        <f>Cálculo!C21</f>
        <v>ALTERNATIVA 1: SODIO</v>
      </c>
      <c r="C41" s="366"/>
      <c r="D41" s="366"/>
      <c r="E41" s="366"/>
      <c r="F41" s="366"/>
      <c r="G41" s="367"/>
      <c r="H41" s="354">
        <f>F35/Cálculo!$I$5</f>
        <v>6266.6212244897961</v>
      </c>
      <c r="I41" s="355"/>
      <c r="J41" s="356"/>
      <c r="K41" s="385">
        <f>1000*Cálculo!G68/Cálculo!I5</f>
        <v>0.31857142857142856</v>
      </c>
      <c r="L41" s="386"/>
      <c r="M41" s="387"/>
      <c r="N41" s="354">
        <f>H35/Cálculo!$I$5</f>
        <v>5673.7623129251706</v>
      </c>
      <c r="O41" s="355"/>
      <c r="P41" s="356"/>
      <c r="Q41" s="97"/>
    </row>
    <row r="42" spans="1:33" ht="15" customHeight="1" x14ac:dyDescent="0.25">
      <c r="A42" s="97"/>
      <c r="B42" s="365" t="str">
        <f>Cálculo!J21</f>
        <v>ALTERNATIVA 2: CMH</v>
      </c>
      <c r="C42" s="366"/>
      <c r="D42" s="366"/>
      <c r="E42" s="366"/>
      <c r="F42" s="366"/>
      <c r="G42" s="367"/>
      <c r="H42" s="354">
        <f>F36/Cálculo!$I$5</f>
        <v>6141.4620408163264</v>
      </c>
      <c r="I42" s="355"/>
      <c r="J42" s="356"/>
      <c r="K42" s="385">
        <f>1000*Cálculo!N68/Cálculo!I5</f>
        <v>0.31857142857142856</v>
      </c>
      <c r="L42" s="386"/>
      <c r="M42" s="387"/>
      <c r="N42" s="354">
        <f>H36/Cálculo!$I$5</f>
        <v>5506.8834013605456</v>
      </c>
      <c r="O42" s="355"/>
      <c r="P42" s="356"/>
      <c r="Q42" s="97"/>
    </row>
    <row r="43" spans="1:33" ht="15" customHeight="1" x14ac:dyDescent="0.25">
      <c r="A43" s="133"/>
      <c r="B43" s="357" t="str">
        <f>Cálculo!Q21</f>
        <v>ALTERNATIVA 3: LED</v>
      </c>
      <c r="C43" s="357"/>
      <c r="D43" s="357"/>
      <c r="E43" s="357"/>
      <c r="F43" s="357"/>
      <c r="G43" s="357"/>
      <c r="H43" s="358">
        <f>F37/Cálculo!$I$5</f>
        <v>7929.1681632653062</v>
      </c>
      <c r="I43" s="358"/>
      <c r="J43" s="358"/>
      <c r="K43" s="384">
        <f>1000*Cálculo!U68/Cálculo!I5</f>
        <v>0.16857142857142857</v>
      </c>
      <c r="L43" s="384"/>
      <c r="M43" s="384"/>
      <c r="N43" s="358">
        <f>H37/Cálculo!$I$5</f>
        <v>664.50857142857137</v>
      </c>
      <c r="O43" s="358"/>
      <c r="P43" s="358"/>
      <c r="Q43" s="133"/>
    </row>
    <row r="44" spans="1:33" ht="15" customHeight="1" x14ac:dyDescent="0.25">
      <c r="A44" s="133"/>
      <c r="B44" s="163"/>
      <c r="C44" s="163"/>
      <c r="D44" s="163"/>
      <c r="E44" s="163"/>
      <c r="F44" s="163"/>
      <c r="G44" s="163"/>
      <c r="H44" s="164"/>
      <c r="I44" s="164"/>
      <c r="J44" s="164"/>
      <c r="K44" s="165"/>
      <c r="L44" s="165"/>
      <c r="M44" s="165"/>
      <c r="N44" s="164"/>
      <c r="O44" s="164"/>
      <c r="P44" s="164"/>
      <c r="Q44" s="133"/>
    </row>
    <row r="45" spans="1:33" ht="15" customHeight="1" x14ac:dyDescent="0.25">
      <c r="A45" s="133"/>
      <c r="B45" s="135" t="s">
        <v>174</v>
      </c>
      <c r="C45" s="138"/>
      <c r="D45" s="138"/>
      <c r="Q45" s="133"/>
    </row>
    <row r="46" spans="1:33" ht="15" customHeight="1" x14ac:dyDescent="0.25">
      <c r="B46" s="331" t="s">
        <v>253</v>
      </c>
      <c r="C46" s="331"/>
      <c r="D46" s="331"/>
      <c r="E46" s="331"/>
      <c r="F46" s="331"/>
      <c r="G46" s="331"/>
      <c r="H46" s="331"/>
      <c r="I46" s="331"/>
      <c r="J46" s="331"/>
      <c r="K46" s="331"/>
      <c r="L46" s="331"/>
      <c r="M46" s="331"/>
      <c r="N46" s="331"/>
      <c r="O46" s="331"/>
      <c r="P46" s="331"/>
    </row>
    <row r="47" spans="1:33" ht="15" customHeight="1" x14ac:dyDescent="0.25">
      <c r="B47" s="331"/>
      <c r="C47" s="331"/>
      <c r="D47" s="331"/>
      <c r="E47" s="331"/>
      <c r="F47" s="331"/>
      <c r="G47" s="331"/>
      <c r="H47" s="331"/>
      <c r="I47" s="331"/>
      <c r="J47" s="331"/>
      <c r="K47" s="331"/>
      <c r="L47" s="331"/>
      <c r="M47" s="331"/>
      <c r="N47" s="331"/>
      <c r="O47" s="331"/>
      <c r="P47" s="331"/>
    </row>
    <row r="48" spans="1:33" ht="15" customHeight="1" x14ac:dyDescent="0.25">
      <c r="B48" s="331"/>
      <c r="C48" s="331"/>
      <c r="D48" s="331"/>
      <c r="E48" s="331"/>
      <c r="F48" s="331"/>
      <c r="G48" s="331"/>
      <c r="H48" s="331"/>
      <c r="I48" s="331"/>
      <c r="J48" s="331"/>
      <c r="K48" s="331"/>
      <c r="L48" s="331"/>
      <c r="M48" s="331"/>
      <c r="N48" s="331"/>
      <c r="O48" s="331"/>
      <c r="P48" s="331"/>
    </row>
    <row r="49" spans="2:33" ht="15" customHeight="1" x14ac:dyDescent="0.25">
      <c r="B49" s="331"/>
      <c r="C49" s="331"/>
      <c r="D49" s="331"/>
      <c r="E49" s="331"/>
      <c r="F49" s="331"/>
      <c r="G49" s="331"/>
      <c r="H49" s="331"/>
      <c r="I49" s="331"/>
      <c r="J49" s="331"/>
      <c r="K49" s="331"/>
      <c r="L49" s="331"/>
      <c r="M49" s="331"/>
      <c r="N49" s="331"/>
      <c r="O49" s="331"/>
      <c r="P49" s="331"/>
    </row>
    <row r="50" spans="2:33" ht="15" customHeight="1" x14ac:dyDescent="0.25">
      <c r="B50" s="331"/>
      <c r="C50" s="331"/>
      <c r="D50" s="331"/>
      <c r="E50" s="331"/>
      <c r="F50" s="331"/>
      <c r="G50" s="331"/>
      <c r="H50" s="331"/>
      <c r="I50" s="331"/>
      <c r="J50" s="331"/>
      <c r="K50" s="331"/>
      <c r="L50" s="331"/>
      <c r="M50" s="331"/>
      <c r="N50" s="331"/>
      <c r="O50" s="331"/>
      <c r="P50" s="331"/>
    </row>
    <row r="51" spans="2:33" ht="15" customHeight="1" x14ac:dyDescent="0.25">
      <c r="B51" s="331"/>
      <c r="C51" s="331"/>
      <c r="D51" s="331"/>
      <c r="E51" s="331"/>
      <c r="F51" s="331"/>
      <c r="G51" s="331"/>
      <c r="H51" s="331"/>
      <c r="I51" s="331"/>
      <c r="J51" s="331"/>
      <c r="K51" s="331"/>
      <c r="L51" s="331"/>
      <c r="M51" s="331"/>
      <c r="N51" s="331"/>
      <c r="O51" s="331"/>
      <c r="P51" s="331"/>
    </row>
    <row r="52" spans="2:33" ht="15" customHeight="1" x14ac:dyDescent="0.25">
      <c r="B52" s="332"/>
      <c r="C52" s="332"/>
      <c r="D52" s="332"/>
      <c r="E52" s="332"/>
      <c r="F52" s="332"/>
      <c r="G52" s="332"/>
      <c r="H52" s="332"/>
      <c r="I52" s="332"/>
      <c r="J52" s="332"/>
      <c r="K52" s="332"/>
      <c r="L52" s="332"/>
      <c r="M52" s="332"/>
      <c r="N52" s="332"/>
      <c r="O52" s="332"/>
      <c r="P52" s="332"/>
    </row>
    <row r="53" spans="2:33" ht="15" customHeight="1" x14ac:dyDescent="0.25">
      <c r="B53" s="353" t="s">
        <v>192</v>
      </c>
      <c r="C53" s="353"/>
      <c r="D53" s="353"/>
      <c r="E53" s="388">
        <f ca="1">TODAY()</f>
        <v>45561</v>
      </c>
      <c r="F53" s="388"/>
      <c r="G53" s="388"/>
      <c r="H53" s="388"/>
      <c r="O53" s="377" t="s">
        <v>206</v>
      </c>
      <c r="P53" s="377"/>
      <c r="S53" s="382" t="s">
        <v>192</v>
      </c>
      <c r="T53" s="382"/>
      <c r="U53" s="382"/>
      <c r="V53" s="383">
        <f ca="1">TODAY()</f>
        <v>45561</v>
      </c>
      <c r="W53" s="383"/>
      <c r="X53" s="383"/>
      <c r="Y53" s="383"/>
      <c r="Z53" s="146"/>
      <c r="AA53" s="146"/>
      <c r="AB53" s="146"/>
      <c r="AC53" s="146"/>
      <c r="AD53" s="146"/>
      <c r="AE53" s="146"/>
      <c r="AF53" s="381" t="s">
        <v>207</v>
      </c>
      <c r="AG53" s="381"/>
    </row>
  </sheetData>
  <sheetProtection algorithmName="SHA-512" hashValue="HAcUsBGP7+kl/T0aAgWyQ7+Skv1pUi7lj0txBj+EUP79gHhqXz67F+oMHNzIqPkf6LhkQaOdesycGxHXS3U1sw==" saltValue="xEbXropylgN1J6G1+jCF+g==" spinCount="100000" sheet="1" objects="1" scenarios="1" selectLockedCells="1" selectUnlockedCells="1"/>
  <mergeCells count="76">
    <mergeCell ref="S1:AG6"/>
    <mergeCell ref="B1:P6"/>
    <mergeCell ref="N43:P43"/>
    <mergeCell ref="N37:P37"/>
    <mergeCell ref="N36:P36"/>
    <mergeCell ref="N41:P41"/>
    <mergeCell ref="L16:P16"/>
    <mergeCell ref="L19:P19"/>
    <mergeCell ref="N42:P42"/>
    <mergeCell ref="B30:P31"/>
    <mergeCell ref="B16:F16"/>
    <mergeCell ref="B18:F18"/>
    <mergeCell ref="L18:P18"/>
    <mergeCell ref="G11:P12"/>
    <mergeCell ref="G13:P13"/>
    <mergeCell ref="S8:AG8"/>
    <mergeCell ref="O53:P53"/>
    <mergeCell ref="N39:P40"/>
    <mergeCell ref="J32:K34"/>
    <mergeCell ref="N32:P34"/>
    <mergeCell ref="AF53:AG53"/>
    <mergeCell ref="S53:U53"/>
    <mergeCell ref="V53:Y53"/>
    <mergeCell ref="K43:M43"/>
    <mergeCell ref="H41:J41"/>
    <mergeCell ref="K42:M42"/>
    <mergeCell ref="K39:M40"/>
    <mergeCell ref="K41:M41"/>
    <mergeCell ref="E53:H53"/>
    <mergeCell ref="B37:E37"/>
    <mergeCell ref="B36:E36"/>
    <mergeCell ref="B35:E35"/>
    <mergeCell ref="S10:AG13"/>
    <mergeCell ref="B17:F17"/>
    <mergeCell ref="B19:F19"/>
    <mergeCell ref="G18:K18"/>
    <mergeCell ref="G19:K19"/>
    <mergeCell ref="L17:P17"/>
    <mergeCell ref="B11:F13"/>
    <mergeCell ref="G16:K16"/>
    <mergeCell ref="B7:P10"/>
    <mergeCell ref="B14:P15"/>
    <mergeCell ref="B53:D53"/>
    <mergeCell ref="H42:J42"/>
    <mergeCell ref="B43:G43"/>
    <mergeCell ref="H43:J43"/>
    <mergeCell ref="B39:G40"/>
    <mergeCell ref="B41:G41"/>
    <mergeCell ref="B42:G42"/>
    <mergeCell ref="H39:J40"/>
    <mergeCell ref="G17:K17"/>
    <mergeCell ref="B21:F22"/>
    <mergeCell ref="B25:F25"/>
    <mergeCell ref="B24:F24"/>
    <mergeCell ref="J37:K37"/>
    <mergeCell ref="J36:K36"/>
    <mergeCell ref="J35:K35"/>
    <mergeCell ref="F36:G36"/>
    <mergeCell ref="F35:G35"/>
    <mergeCell ref="F37:G37"/>
    <mergeCell ref="H37:I37"/>
    <mergeCell ref="H36:I36"/>
    <mergeCell ref="H35:I35"/>
    <mergeCell ref="B27:F27"/>
    <mergeCell ref="B28:F28"/>
    <mergeCell ref="B26:F26"/>
    <mergeCell ref="B46:P52"/>
    <mergeCell ref="B23:F23"/>
    <mergeCell ref="H32:I34"/>
    <mergeCell ref="F32:G34"/>
    <mergeCell ref="B32:E34"/>
    <mergeCell ref="L37:M37"/>
    <mergeCell ref="L36:M36"/>
    <mergeCell ref="N35:P35"/>
    <mergeCell ref="L32:M34"/>
    <mergeCell ref="L35:M35"/>
  </mergeCells>
  <conditionalFormatting sqref="N35:P37">
    <cfRule type="colorScale" priority="1">
      <colorScale>
        <cfvo type="min"/>
        <cfvo type="percentile" val="50"/>
        <cfvo type="max"/>
        <color theme="9" tint="0.79998168889431442"/>
        <color theme="7" tint="0.79998168889431442"/>
        <color theme="5" tint="0.79998168889431442"/>
      </colorScale>
    </cfRule>
  </conditionalFormatting>
  <pageMargins left="0.59055118110236227" right="0.59055118110236227" top="0.39370078740157483" bottom="0.39370078740157483" header="0" footer="0"/>
  <pageSetup scale="95" orientation="portrait" r:id="rId1"/>
  <headerFooter scaleWithDoc="0"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5153-F4B6-4ED7-AF60-46DCEEE4139C}">
  <sheetPr codeName="Hoja11"/>
  <dimension ref="B1:R13"/>
  <sheetViews>
    <sheetView topLeftCell="E1" workbookViewId="0">
      <selection activeCell="E1" sqref="A1:XFD1048576"/>
    </sheetView>
  </sheetViews>
  <sheetFormatPr defaultColWidth="11.42578125" defaultRowHeight="15" x14ac:dyDescent="0.25"/>
  <cols>
    <col min="7" max="7" width="6.28515625" customWidth="1"/>
    <col min="8" max="8" width="14.42578125" customWidth="1"/>
    <col min="11" max="11" width="20.85546875" customWidth="1"/>
    <col min="14" max="14" width="9" customWidth="1"/>
  </cols>
  <sheetData>
    <row r="1" spans="2:18" ht="34.5" customHeight="1" x14ac:dyDescent="0.25">
      <c r="B1" t="s">
        <v>16</v>
      </c>
      <c r="F1" t="s">
        <v>32</v>
      </c>
      <c r="K1" s="401" t="s">
        <v>115</v>
      </c>
      <c r="L1" s="400" t="s">
        <v>116</v>
      </c>
      <c r="M1" s="400"/>
      <c r="N1" s="400"/>
      <c r="P1" t="s">
        <v>99</v>
      </c>
      <c r="R1" t="s">
        <v>114</v>
      </c>
    </row>
    <row r="2" spans="2:18" x14ac:dyDescent="0.25">
      <c r="K2" s="401"/>
      <c r="L2" s="65" t="s">
        <v>91</v>
      </c>
      <c r="M2" s="65" t="s">
        <v>18</v>
      </c>
      <c r="N2" s="65" t="s">
        <v>19</v>
      </c>
      <c r="R2" s="85">
        <v>0.12089999999999999</v>
      </c>
    </row>
    <row r="3" spans="2:18" x14ac:dyDescent="0.25">
      <c r="B3" t="s">
        <v>17</v>
      </c>
      <c r="D3" t="s">
        <v>3</v>
      </c>
      <c r="F3" t="s">
        <v>44</v>
      </c>
      <c r="H3" t="s">
        <v>34</v>
      </c>
      <c r="I3">
        <v>1</v>
      </c>
      <c r="K3" s="66" t="s">
        <v>87</v>
      </c>
      <c r="L3" s="65" t="s">
        <v>90</v>
      </c>
      <c r="M3" s="65" t="s">
        <v>92</v>
      </c>
      <c r="N3" s="65" t="s">
        <v>117</v>
      </c>
      <c r="P3" t="s">
        <v>100</v>
      </c>
      <c r="R3" s="85">
        <v>0.1164</v>
      </c>
    </row>
    <row r="4" spans="2:18" x14ac:dyDescent="0.25">
      <c r="B4" t="s">
        <v>18</v>
      </c>
      <c r="D4" t="s">
        <v>4</v>
      </c>
      <c r="F4" t="s">
        <v>33</v>
      </c>
      <c r="H4" t="s">
        <v>35</v>
      </c>
      <c r="I4">
        <v>2</v>
      </c>
      <c r="K4" s="66" t="s">
        <v>88</v>
      </c>
      <c r="L4" s="65" t="s">
        <v>90</v>
      </c>
      <c r="M4" s="65" t="s">
        <v>93</v>
      </c>
      <c r="N4" s="65" t="s">
        <v>118</v>
      </c>
      <c r="P4" t="s">
        <v>101</v>
      </c>
      <c r="R4" s="85">
        <v>0.115</v>
      </c>
    </row>
    <row r="5" spans="2:18" x14ac:dyDescent="0.25">
      <c r="B5" t="s">
        <v>19</v>
      </c>
      <c r="D5" t="s">
        <v>20</v>
      </c>
      <c r="H5" t="s">
        <v>36</v>
      </c>
      <c r="I5">
        <v>3</v>
      </c>
      <c r="K5" s="66" t="s">
        <v>245</v>
      </c>
      <c r="L5" s="65" t="s">
        <v>90</v>
      </c>
      <c r="M5" s="65" t="s">
        <v>93</v>
      </c>
      <c r="N5" s="65" t="s">
        <v>118</v>
      </c>
      <c r="P5" t="s">
        <v>102</v>
      </c>
      <c r="R5" s="85">
        <v>0.11360000000000001</v>
      </c>
    </row>
    <row r="6" spans="2:18" x14ac:dyDescent="0.25">
      <c r="K6" s="66" t="s">
        <v>80</v>
      </c>
      <c r="L6" s="65" t="s">
        <v>90</v>
      </c>
      <c r="M6" s="65" t="s">
        <v>94</v>
      </c>
      <c r="N6" s="65" t="s">
        <v>119</v>
      </c>
      <c r="R6" s="85"/>
    </row>
    <row r="7" spans="2:18" x14ac:dyDescent="0.25">
      <c r="K7" s="66" t="s">
        <v>81</v>
      </c>
      <c r="L7" s="65" t="s">
        <v>90</v>
      </c>
      <c r="M7" s="65" t="s">
        <v>94</v>
      </c>
      <c r="N7" s="65" t="s">
        <v>119</v>
      </c>
    </row>
    <row r="8" spans="2:18" x14ac:dyDescent="0.25">
      <c r="K8" s="66" t="s">
        <v>79</v>
      </c>
      <c r="L8" s="65" t="s">
        <v>90</v>
      </c>
      <c r="M8" s="65" t="s">
        <v>94</v>
      </c>
      <c r="N8" s="65" t="s">
        <v>119</v>
      </c>
    </row>
    <row r="9" spans="2:18" x14ac:dyDescent="0.25">
      <c r="K9" s="66" t="s">
        <v>82</v>
      </c>
      <c r="L9" s="65" t="s">
        <v>90</v>
      </c>
      <c r="M9" s="65" t="s">
        <v>94</v>
      </c>
      <c r="N9" s="65" t="s">
        <v>119</v>
      </c>
    </row>
    <row r="10" spans="2:18" x14ac:dyDescent="0.25">
      <c r="K10" s="66" t="s">
        <v>83</v>
      </c>
      <c r="L10" s="65" t="s">
        <v>90</v>
      </c>
      <c r="M10" s="65" t="s">
        <v>94</v>
      </c>
      <c r="N10" s="65" t="s">
        <v>119</v>
      </c>
    </row>
    <row r="11" spans="2:18" x14ac:dyDescent="0.25">
      <c r="K11" s="66" t="s">
        <v>84</v>
      </c>
      <c r="L11" s="65" t="s">
        <v>90</v>
      </c>
      <c r="M11" s="65" t="s">
        <v>94</v>
      </c>
      <c r="N11" s="65" t="s">
        <v>119</v>
      </c>
    </row>
    <row r="12" spans="2:18" x14ac:dyDescent="0.25">
      <c r="K12" s="66" t="s">
        <v>85</v>
      </c>
      <c r="L12" s="65" t="s">
        <v>90</v>
      </c>
      <c r="M12" s="65" t="s">
        <v>94</v>
      </c>
      <c r="N12" s="65" t="s">
        <v>119</v>
      </c>
    </row>
    <row r="13" spans="2:18" x14ac:dyDescent="0.25">
      <c r="K13" s="66" t="s">
        <v>86</v>
      </c>
      <c r="L13" s="65" t="s">
        <v>90</v>
      </c>
      <c r="M13" s="65" t="s">
        <v>94</v>
      </c>
      <c r="N13" s="65" t="s">
        <v>119</v>
      </c>
    </row>
  </sheetData>
  <sheetProtection algorithmName="SHA-512" hashValue="DYJdEAcNVLSV5BjflhmKi6LT8cn8N6zD3IyfO/vluE6QLHYFpMRLuCNrmFn1AM/xIdQpj6rJuXbYhJH7QWwyMA==" saltValue="w9QuD7w1GrzA048TtlsHmA==" spinCount="100000" sheet="1" objects="1" scenarios="1" selectLockedCells="1" selectUnlockedCells="1"/>
  <mergeCells count="2">
    <mergeCell ref="L1:N1"/>
    <mergeCell ref="K1:K2"/>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Descripción</vt:lpstr>
      <vt:lpstr>Instrucciones</vt:lpstr>
      <vt:lpstr>Luminarias</vt:lpstr>
      <vt:lpstr>Postes</vt:lpstr>
      <vt:lpstr>Otros Activos</vt:lpstr>
      <vt:lpstr>Cálculo</vt:lpstr>
      <vt:lpstr>Ejemplo 1</vt:lpstr>
      <vt:lpstr>Ejemplo 2</vt:lpstr>
      <vt:lpstr>Ejemplo 3</vt:lpstr>
      <vt:lpstr>Hoja1</vt:lpstr>
      <vt:lpstr>FC</vt:lpstr>
      <vt:lpstr>Reporte</vt:lpstr>
      <vt:lpstr>Hoja11</vt:lpstr>
      <vt:lpstr>EVALUA</vt:lpstr>
      <vt:lpstr>luminarias</vt:lpstr>
      <vt:lpstr>TASA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Angelica Vargas</cp:lastModifiedBy>
  <cp:lastPrinted>2024-09-26T12:43:24Z</cp:lastPrinted>
  <dcterms:created xsi:type="dcterms:W3CDTF">2020-10-12T14:10:54Z</dcterms:created>
  <dcterms:modified xsi:type="dcterms:W3CDTF">2024-09-26T12:46:34Z</dcterms:modified>
</cp:coreProperties>
</file>